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临时草稿" sheetId="10" state="visible" r:id="rId10"/>
    <sheet name="Archive_2019" sheetId="11" state="visible" r:id="rId11"/>
    <sheet name="Scratch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 outlineLevelCol="0"/>
  <cols>
    <col width="26" customWidth="1" min="1" max="1"/>
  </cols>
  <sheetData>
    <row r="1">
      <c r="A1" s="1" t="inlineStr">
        <is>
          <t>关键假设 Key Assumptions — 医疗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21102.02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0.3633</v>
      </c>
      <c r="C4" s="3" t="inlineStr"/>
    </row>
    <row r="5">
      <c r="A5" s="3" t="inlineStr">
        <is>
          <t>费用率 Opex %</t>
        </is>
      </c>
      <c r="B5" s="5" t="n">
        <v>0.2139</v>
      </c>
      <c r="C5" s="3" t="inlineStr"/>
    </row>
    <row r="6">
      <c r="A6" s="3" t="inlineStr">
        <is>
          <t>所得税率 Tax rate</t>
        </is>
      </c>
      <c r="B6" s="5" t="n">
        <v>0.1802</v>
      </c>
      <c r="C6" s="3" t="inlineStr"/>
    </row>
    <row r="7">
      <c r="A7" s="3" t="inlineStr">
        <is>
          <t>资本开支率 Capex %</t>
        </is>
      </c>
      <c r="B7" s="5" t="n">
        <v>0.08459999999999999</v>
      </c>
      <c r="C7" s="3" t="inlineStr"/>
    </row>
    <row r="8">
      <c r="A8" s="3" t="inlineStr">
        <is>
          <t>折旧年限 Dep. years</t>
        </is>
      </c>
      <c r="B8" s="3" t="n">
        <v>10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68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42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55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0.0563</v>
      </c>
      <c r="C12" s="3" t="inlineStr"/>
    </row>
    <row r="13">
      <c r="A13" s="3" t="inlineStr">
        <is>
          <t>WACC</t>
        </is>
      </c>
      <c r="B13" s="5" t="n">
        <v>0.0964</v>
      </c>
      <c r="C13" s="3" t="inlineStr"/>
    </row>
    <row r="14">
      <c r="A14" s="3" t="inlineStr">
        <is>
          <t>永续增长 Terminal growth</t>
        </is>
      </c>
      <c r="B14" s="5" t="n">
        <v>0.027</v>
      </c>
      <c r="C14" s="3" t="inlineStr"/>
    </row>
    <row r="15">
      <c r="A15" s="3" t="inlineStr">
        <is>
          <t>股本 Shares</t>
        </is>
      </c>
      <c r="B15" s="6" t="n">
        <v>1101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5134.07</v>
      </c>
      <c r="C16" s="3" t="inlineStr"/>
    </row>
    <row r="17">
      <c r="A17" s="3" t="inlineStr">
        <is>
          <t>期初固定资产原值</t>
        </is>
      </c>
      <c r="B17" s="4" t="n">
        <v>16539.7</v>
      </c>
      <c r="C17" s="3" t="inlineStr"/>
    </row>
    <row r="18">
      <c r="A18" s="3" t="inlineStr">
        <is>
          <t>期初累计折旧</t>
        </is>
      </c>
      <c r="B18" s="4" t="n">
        <v>2340.8</v>
      </c>
      <c r="C18" s="3" t="inlineStr"/>
    </row>
    <row r="19">
      <c r="A19" s="3" t="inlineStr">
        <is>
          <t>期初有息负债</t>
        </is>
      </c>
      <c r="B19" s="4" t="n">
        <v>10865.33</v>
      </c>
      <c r="C19" s="3" t="inlineStr"/>
    </row>
    <row r="20">
      <c r="A20" s="3" t="inlineStr">
        <is>
          <t>残值率 Salvage %</t>
        </is>
      </c>
      <c r="B20" s="5" t="n">
        <v>0.0625</v>
      </c>
      <c r="C20" s="3" t="inlineStr"/>
    </row>
    <row r="21">
      <c r="A21" s="3" t="inlineStr">
        <is>
          <t>毛利率年提升 GM ramp/yr</t>
        </is>
      </c>
      <c r="B21" s="5" t="n">
        <v>0.0125</v>
      </c>
      <c r="C21" s="3" t="inlineStr"/>
    </row>
    <row r="22">
      <c r="A22" s="3" t="inlineStr">
        <is>
          <t>固定费用 Fixed opex</t>
        </is>
      </c>
      <c r="B22" s="4" t="n">
        <v>941.29</v>
      </c>
      <c r="C22" s="3" t="inlineStr"/>
    </row>
    <row r="23">
      <c r="A23" s="3" t="inlineStr">
        <is>
          <t>收入增速 2025 Growth</t>
        </is>
      </c>
      <c r="B23" s="5" t="n">
        <v>0.1656</v>
      </c>
    </row>
    <row r="24">
      <c r="A24" s="3" t="inlineStr">
        <is>
          <t>收入增速 2026 Growth</t>
        </is>
      </c>
      <c r="B24" s="5" t="n">
        <v>0.2756</v>
      </c>
    </row>
    <row r="25">
      <c r="A25" s="3" t="inlineStr">
        <is>
          <t>收入增速 2027 Growth</t>
        </is>
      </c>
      <c r="B25" s="5" t="n">
        <v>0.3429</v>
      </c>
    </row>
    <row r="26">
      <c r="A26" s="3" t="inlineStr">
        <is>
          <t>收入增速 2028 Growth</t>
        </is>
      </c>
      <c r="B26" s="5" t="n">
        <v>0.2184</v>
      </c>
    </row>
    <row r="27">
      <c r="A27" s="3" t="inlineStr">
        <is>
          <t>收入增速 2029 Growth</t>
        </is>
      </c>
      <c r="B27" s="5" t="n">
        <v>0.3157</v>
      </c>
    </row>
    <row r="28">
      <c r="A28" s="3" t="inlineStr">
        <is>
          <t>还本 2025 Debt repayment</t>
        </is>
      </c>
      <c r="B28" s="4" t="n">
        <v>743.08</v>
      </c>
    </row>
    <row r="29">
      <c r="A29" s="3" t="inlineStr">
        <is>
          <t>还本 2026 Debt repayment</t>
        </is>
      </c>
      <c r="B29" s="4" t="n">
        <v>1171.16</v>
      </c>
    </row>
    <row r="30">
      <c r="A30" s="3" t="inlineStr">
        <is>
          <t>还本 2027 Debt repayment</t>
        </is>
      </c>
      <c r="B30" s="4" t="n">
        <v>1137.06</v>
      </c>
    </row>
    <row r="31">
      <c r="A31" s="3" t="inlineStr">
        <is>
          <t>还本 2028 Debt repayment</t>
        </is>
      </c>
      <c r="B31" s="4" t="n">
        <v>459.51</v>
      </c>
    </row>
    <row r="32">
      <c r="A32" s="3" t="inlineStr">
        <is>
          <t>还本 2029 Debt repayment</t>
        </is>
      </c>
      <c r="B32" s="4" t="n">
        <v>864.0700000000001</v>
      </c>
    </row>
    <row r="34">
      <c r="A34" s="7" t="inlineStr">
        <is>
          <t>★ 会计口径约定 House conventions（务必遵循）</t>
        </is>
      </c>
    </row>
    <row r="35">
      <c r="A35" t="inlineStr">
        <is>
          <t>• 折旧按【期初原值】计提（非期末）：Depreciation = 期初原值 / 折旧年限。</t>
        </is>
      </c>
    </row>
    <row r="36">
      <c r="A36" t="inlineStr">
        <is>
          <t>• 折旧考虑残值：Depreciation = (期初原值 × (1−残值率)) / 折旧年限。</t>
        </is>
      </c>
    </row>
    <row r="37">
      <c r="A37" t="inlineStr">
        <is>
          <t>• 营运资本天数基数采用 360 天（非 365）：AR/存货/AP 均按 /360 计算。</t>
        </is>
      </c>
    </row>
    <row r="38">
      <c r="A38" t="inlineStr">
        <is>
          <t>• 利息按【期初与期末负债的平均】计提：Interest = (期初+期末)/2 × 利率。</t>
        </is>
      </c>
    </row>
    <row r="39">
      <c r="A39" t="inlineStr">
        <is>
          <t>• 期间费用 = 收入 × 费用率 + 固定费用（含一笔固定管理费）。</t>
        </is>
      </c>
    </row>
    <row r="40">
      <c r="A40" t="inlineStr">
        <is>
          <t>• 毛利率逐年提升：第 t 年毛利率 = 基准毛利率 + GM ramp ×(t−1)。</t>
        </is>
      </c>
    </row>
    <row r="41">
      <c r="A41" t="inlineStr">
        <is>
          <t>• DCF 采用【期中折现】：折现因子 = 1/(1+WACC)^(t−0.5)。</t>
        </is>
      </c>
    </row>
    <row r="42">
      <c r="A42" t="inlineStr">
        <is>
          <t>• 资本开支设下限：Capex = MAX(收入 × 资本开支率, 上一年折旧)（维持性资本开支）。</t>
        </is>
      </c>
    </row>
  </sheetData>
  <mergeCells count="9">
    <mergeCell ref="A38:F38"/>
    <mergeCell ref="A41:F41"/>
    <mergeCell ref="A42:F42"/>
    <mergeCell ref="A36:F36"/>
    <mergeCell ref="A1:F1"/>
    <mergeCell ref="A37:F37"/>
    <mergeCell ref="A40:F40"/>
    <mergeCell ref="A35:F35"/>
    <mergeCell ref="A39:F39"/>
  </mergeCells>
  <dataValidations count="1">
    <dataValidation sqref="B3:B32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营业收入 Revenue</t>
        </is>
      </c>
      <c r="B3" s="4" t="n">
        <v>21102.02</v>
      </c>
      <c r="C3">
        <f>B3*(1+Assumptions!B23)</f>
        <v/>
      </c>
      <c r="D3">
        <f>C3*(1+Assumptions!B24)</f>
        <v/>
      </c>
      <c r="E3">
        <f>D3*(1+Assumptions!B25)</f>
        <v/>
      </c>
      <c r="F3">
        <f>E3*(1+Assumptions!B26)</f>
        <v/>
      </c>
      <c r="G3">
        <f>F3*(1+Assumptions!B27)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资本开支 Capex</t>
        </is>
      </c>
      <c r="C4">
        <f>Revenue!C3*Assumptions!B7</f>
        <v/>
      </c>
      <c r="D4">
        <f>MAX(Revenue!D3*Assumptions!B7,C6)</f>
        <v/>
      </c>
      <c r="E4">
        <f>MAX(Revenue!E3*Assumptions!B7,D6)</f>
        <v/>
      </c>
      <c r="F4">
        <f>MAX(Revenue!F3*Assumptions!B7,E6)</f>
        <v/>
      </c>
      <c r="G4">
        <f>MAX(Revenue!G3*Assumptions!B7,F6)</f>
        <v/>
      </c>
    </row>
    <row r="5">
      <c r="A5" s="7" t="inlineStr">
        <is>
          <t>期末原值 Gross end</t>
        </is>
      </c>
      <c r="B5" s="4" t="n">
        <v>16539.7</v>
      </c>
      <c r="C5">
        <f>C3+C4</f>
        <v/>
      </c>
      <c r="D5">
        <f>D3+D4</f>
        <v/>
      </c>
      <c r="E5">
        <f>E3+E4</f>
        <v/>
      </c>
      <c r="F5">
        <f>F3+F4</f>
        <v/>
      </c>
      <c r="G5">
        <f>G3+G4</f>
        <v/>
      </c>
    </row>
    <row r="6">
      <c r="A6" s="7" t="inlineStr">
        <is>
          <t>本期折旧 Depreciation</t>
        </is>
      </c>
      <c r="C6">
        <f>C3*(1-Assumptions!B20)/Assumptions!B8</f>
        <v/>
      </c>
      <c r="D6">
        <f>D3*(1-Assumptions!B20)/Assumptions!B8</f>
        <v/>
      </c>
      <c r="E6">
        <f>E3*(1-Assumptions!B20)/Assumptions!B8</f>
        <v/>
      </c>
      <c r="F6">
        <f>F3*(1-Assumptions!B20)/Assumptions!B8</f>
        <v/>
      </c>
      <c r="G6">
        <f>G3*(1-Assumptions!B20)/Assumptions!B8</f>
        <v/>
      </c>
    </row>
    <row r="7" hidden="1">
      <c r="A7" s="7" t="inlineStr">
        <is>
          <t>累计折旧 Accum. dep</t>
        </is>
      </c>
      <c r="B7" s="4" t="n">
        <v>2340.8</v>
      </c>
      <c r="C7">
        <f>B7+C6</f>
        <v/>
      </c>
      <c r="D7">
        <f>C7+D6</f>
        <v/>
      </c>
      <c r="E7">
        <f>D7+E6</f>
        <v/>
      </c>
      <c r="F7">
        <f>E7+F6</f>
        <v/>
      </c>
      <c r="G7">
        <f>F7+G6</f>
        <v/>
      </c>
    </row>
    <row r="8">
      <c r="A8" s="7" t="inlineStr">
        <is>
          <t>净值 Net PP&amp;E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营业收入 Revenue</t>
        </is>
      </c>
      <c r="C3">
        <f>Revenue!C3</f>
        <v/>
      </c>
      <c r="D3">
        <f>Revenue!D3</f>
        <v/>
      </c>
      <c r="E3">
        <f>Revenue!E3</f>
        <v/>
      </c>
      <c r="F3">
        <f>Revenue!F3</f>
        <v/>
      </c>
      <c r="G3">
        <f>Revenue!G3</f>
        <v/>
      </c>
    </row>
    <row r="4">
      <c r="A4" s="7" t="inlineStr">
        <is>
          <t>营业成本 COGS</t>
        </is>
      </c>
      <c r="C4">
        <f>C3*(1-(Assumptions!B4+Assumptions!B21*0))</f>
        <v/>
      </c>
      <c r="D4">
        <f>D3*(1-(Assumptions!B4+Assumptions!B21*1))</f>
        <v/>
      </c>
      <c r="E4">
        <f>E3*(1-(Assumptions!B4+Assumptions!B21*2))</f>
        <v/>
      </c>
      <c r="F4">
        <f>F3*(1-(Assumptions!B4+Assumptions!B21*3))</f>
        <v/>
      </c>
      <c r="G4">
        <f>G3*(1-(Assumptions!B4+Assumptions!B21*4))</f>
        <v/>
      </c>
    </row>
    <row r="5">
      <c r="A5" s="7" t="inlineStr">
        <is>
          <t>毛利 Gross profit</t>
        </is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  <row r="6">
      <c r="A6" s="7" t="inlineStr">
        <is>
          <t>期间费用 Opex</t>
        </is>
      </c>
      <c r="C6">
        <f>C3*Assumptions!B5+Assumptions!B22</f>
        <v/>
      </c>
      <c r="D6">
        <f>D3*Assumptions!B5+Assumptions!B22</f>
        <v/>
      </c>
      <c r="E6">
        <f>E3*Assumptions!B5+Assumptions!B22</f>
        <v/>
      </c>
      <c r="F6">
        <f>F3*Assumptions!B5+Assumptions!B22</f>
        <v/>
      </c>
      <c r="G6">
        <f>G3*Assumptions!B5+Assumptions!B22</f>
        <v/>
      </c>
    </row>
    <row r="7">
      <c r="A7" s="7" t="inlineStr">
        <is>
          <t>折旧摊销 D&amp;A</t>
        </is>
      </c>
      <c r="C7">
        <f>PPE!C6</f>
        <v/>
      </c>
      <c r="D7">
        <f>PPE!D6</f>
        <v/>
      </c>
      <c r="E7">
        <f>PPE!E6</f>
        <v/>
      </c>
      <c r="F7">
        <f>PPE!F6</f>
        <v/>
      </c>
      <c r="G7">
        <f>PPE!G6</f>
        <v/>
      </c>
    </row>
    <row r="8">
      <c r="A8" s="7" t="inlineStr">
        <is>
          <t>息税前利润 EBIT</t>
        </is>
      </c>
      <c r="C8">
        <f>C5-C6-C7</f>
        <v/>
      </c>
      <c r="D8">
        <f>D5-D6-D7</f>
        <v/>
      </c>
      <c r="E8">
        <f>E5-E6-E7</f>
        <v/>
      </c>
      <c r="F8">
        <f>F5-F6-F7</f>
        <v/>
      </c>
      <c r="G8">
        <f>G5-G6-G7</f>
        <v/>
      </c>
    </row>
    <row r="9">
      <c r="A9" s="7" t="inlineStr">
        <is>
          <t>利息费用 Interest</t>
        </is>
      </c>
      <c r="C9">
        <f>(DebtSchedule!C3+DebtSchedule!C5)/2*Assumptions!B12</f>
        <v/>
      </c>
      <c r="D9">
        <f>(DebtSchedule!D3+DebtSchedule!D5)/2*Assumptions!B12</f>
        <v/>
      </c>
      <c r="E9">
        <f>(DebtSchedule!E3+DebtSchedule!E5)/2*Assumptions!B12</f>
        <v/>
      </c>
      <c r="F9">
        <f>(DebtSchedule!F3+DebtSchedule!F5)/2*Assumptions!B12</f>
        <v/>
      </c>
      <c r="G9">
        <f>(DebtSchedule!G3+DebtSchedule!G5)/2*Assumptions!B12</f>
        <v/>
      </c>
    </row>
    <row r="10">
      <c r="A10" s="7" t="inlineStr">
        <is>
          <t>税前利润 EBT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  <c r="G10">
        <f>G8-G9</f>
        <v/>
      </c>
    </row>
    <row r="11">
      <c r="A11" s="7" t="inlineStr">
        <is>
          <t>所得税 Tax</t>
        </is>
      </c>
      <c r="C11">
        <f>MAX(C10,0)*Assumptions!B6</f>
        <v/>
      </c>
      <c r="D11">
        <f>MAX(D10,0)*Assumptions!B6</f>
        <v/>
      </c>
      <c r="E11">
        <f>MAX(E10,0)*Assumptions!B6</f>
        <v/>
      </c>
      <c r="F11">
        <f>MAX(F10,0)*Assumptions!B6</f>
        <v/>
      </c>
      <c r="G11">
        <f>MAX(G10,0)*Assumptions!B6</f>
        <v/>
      </c>
    </row>
    <row r="12">
      <c r="A12" s="7" t="inlineStr">
        <is>
          <t>净利润 Net income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  <c r="G12">
        <f>G10-G11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还本 Repayment</t>
        </is>
      </c>
      <c r="C4">
        <f>Assumptions!B28</f>
        <v/>
      </c>
      <c r="D4">
        <f>Assumptions!B29</f>
        <v/>
      </c>
      <c r="E4">
        <f>Assumptions!B30</f>
        <v/>
      </c>
      <c r="F4">
        <f>Assumptions!B31</f>
        <v/>
      </c>
      <c r="G4">
        <f>Assumptions!B32</f>
        <v/>
      </c>
    </row>
    <row r="5">
      <c r="A5" s="7" t="inlineStr">
        <is>
          <t>期末负债 Debt end</t>
        </is>
      </c>
      <c r="B5" s="4" t="n">
        <v>10865.33</v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应收账款 AR</t>
        </is>
      </c>
      <c r="B3" s="4" t="n">
        <v>3931.34</v>
      </c>
      <c r="C3">
        <f>IncomeStatement!C3*Assumptions!B9/360</f>
        <v/>
      </c>
      <c r="D3">
        <f>IncomeStatement!D3*Assumptions!B9/360</f>
        <v/>
      </c>
      <c r="E3">
        <f>IncomeStatement!E3*Assumptions!B9/360</f>
        <v/>
      </c>
      <c r="F3">
        <f>IncomeStatement!F3*Assumptions!B9/360</f>
        <v/>
      </c>
      <c r="G3">
        <f>IncomeStatement!G3*Assumptions!B9/360</f>
        <v/>
      </c>
    </row>
    <row r="4">
      <c r="A4" s="7" t="inlineStr">
        <is>
          <t>存货 Inventory</t>
        </is>
      </c>
      <c r="B4" s="4" t="n">
        <v>1546.02</v>
      </c>
      <c r="C4">
        <f>IncomeStatement!C4*Assumptions!B10/360</f>
        <v/>
      </c>
      <c r="D4">
        <f>IncomeStatement!D4*Assumptions!B10/360</f>
        <v/>
      </c>
      <c r="E4">
        <f>IncomeStatement!E4*Assumptions!B10/360</f>
        <v/>
      </c>
      <c r="F4">
        <f>IncomeStatement!F4*Assumptions!B10/360</f>
        <v/>
      </c>
      <c r="G4">
        <f>IncomeStatement!G4*Assumptions!B10/360</f>
        <v/>
      </c>
    </row>
    <row r="5">
      <c r="A5" s="7" t="inlineStr">
        <is>
          <t>应付账款 AP</t>
        </is>
      </c>
      <c r="B5" s="4" t="n">
        <v>2024.55</v>
      </c>
      <c r="C5">
        <f>IncomeStatement!C4*Assumptions!B11/360</f>
        <v/>
      </c>
      <c r="D5">
        <f>IncomeStatement!D4*Assumptions!B11/360</f>
        <v/>
      </c>
      <c r="E5">
        <f>IncomeStatement!E4*Assumptions!B11/360</f>
        <v/>
      </c>
      <c r="F5">
        <f>IncomeStatement!F4*Assumptions!B11/360</f>
        <v/>
      </c>
      <c r="G5">
        <f>IncomeStatement!G4*Assumptions!B11/360</f>
        <v/>
      </c>
    </row>
    <row r="6">
      <c r="A6" s="7" t="inlineStr">
        <is>
          <t>净营运资本 NWC</t>
        </is>
      </c>
      <c r="B6">
        <f>B3+B4-B5</f>
        <v/>
      </c>
      <c r="C6">
        <f>C3+C4-C5</f>
        <v/>
      </c>
      <c r="D6">
        <f>D3+D4-D5</f>
        <v/>
      </c>
      <c r="E6">
        <f>E3+E4-E5</f>
        <v/>
      </c>
      <c r="F6">
        <f>F3+F4-F5</f>
        <v/>
      </c>
      <c r="G6">
        <f>G3+G4-G5</f>
        <v/>
      </c>
    </row>
    <row r="7">
      <c r="A7" s="7" t="inlineStr">
        <is>
          <t>NWC变动 ΔNWC</t>
        </is>
      </c>
      <c r="C7">
        <f>C6-B6</f>
        <v/>
      </c>
      <c r="D7">
        <f>D6-C6</f>
        <v/>
      </c>
      <c r="E7">
        <f>E6-D6</f>
        <v/>
      </c>
      <c r="F7">
        <f>F6-E6</f>
        <v/>
      </c>
      <c r="G7">
        <f>G6-F6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净利润 Net income</t>
        </is>
      </c>
      <c r="C3">
        <f>IncomeStatement!C12</f>
        <v/>
      </c>
      <c r="D3">
        <f>IncomeStatement!D12</f>
        <v/>
      </c>
      <c r="E3">
        <f>IncomeStatement!E12</f>
        <v/>
      </c>
      <c r="F3">
        <f>IncomeStatement!F12</f>
        <v/>
      </c>
      <c r="G3">
        <f>IncomeStatement!G12</f>
        <v/>
      </c>
    </row>
    <row r="4">
      <c r="A4" s="7" t="inlineStr">
        <is>
          <t>加:折旧摊销 +D&amp;A</t>
        </is>
      </c>
      <c r="C4">
        <f>PPE!C6</f>
        <v/>
      </c>
      <c r="D4">
        <f>PPE!D6</f>
        <v/>
      </c>
      <c r="E4">
        <f>PPE!E6</f>
        <v/>
      </c>
      <c r="F4">
        <f>PPE!F6</f>
        <v/>
      </c>
      <c r="G4">
        <f>PPE!G6</f>
        <v/>
      </c>
    </row>
    <row r="5">
      <c r="A5" s="7" t="inlineStr">
        <is>
          <t>减:ΔNWC -ΔNWC</t>
        </is>
      </c>
      <c r="C5">
        <f>-WorkingCapital!C7</f>
        <v/>
      </c>
      <c r="D5">
        <f>-WorkingCapital!D7</f>
        <v/>
      </c>
      <c r="E5">
        <f>-WorkingCapital!E7</f>
        <v/>
      </c>
      <c r="F5">
        <f>-WorkingCapital!F7</f>
        <v/>
      </c>
      <c r="G5">
        <f>-WorkingCapital!G7</f>
        <v/>
      </c>
    </row>
    <row r="6">
      <c r="A6" s="7" t="inlineStr">
        <is>
          <t>经营活动现金流 CFO</t>
        </is>
      </c>
      <c r="C6">
        <f>C3+C4+C5</f>
        <v/>
      </c>
      <c r="D6">
        <f>D3+D4+D5</f>
        <v/>
      </c>
      <c r="E6">
        <f>E3+E4+E5</f>
        <v/>
      </c>
      <c r="F6">
        <f>F3+F4+F5</f>
        <v/>
      </c>
      <c r="G6">
        <f>G3+G4+G5</f>
        <v/>
      </c>
    </row>
    <row r="7">
      <c r="A7" s="7" t="inlineStr">
        <is>
          <t>资本开支 Capex</t>
        </is>
      </c>
      <c r="C7">
        <f>-PPE!C4</f>
        <v/>
      </c>
      <c r="D7">
        <f>-PPE!D4</f>
        <v/>
      </c>
      <c r="E7">
        <f>-PPE!E4</f>
        <v/>
      </c>
      <c r="F7">
        <f>-PPE!F4</f>
        <v/>
      </c>
      <c r="G7">
        <f>-PPE!G4</f>
        <v/>
      </c>
    </row>
    <row r="8">
      <c r="A8" s="7" t="inlineStr">
        <is>
          <t>投资活动现金流 CFI</t>
        </is>
      </c>
      <c r="C8">
        <f>C7</f>
        <v/>
      </c>
      <c r="D8">
        <f>D7</f>
        <v/>
      </c>
      <c r="E8">
        <f>E7</f>
        <v/>
      </c>
      <c r="F8">
        <f>F7</f>
        <v/>
      </c>
      <c r="G8">
        <f>G7</f>
        <v/>
      </c>
    </row>
    <row r="9">
      <c r="A9" s="7" t="inlineStr">
        <is>
          <t>偿还债务 Debt repay</t>
        </is>
      </c>
      <c r="C9">
        <f>-DebtSchedule!C4</f>
        <v/>
      </c>
      <c r="D9">
        <f>-DebtSchedule!D4</f>
        <v/>
      </c>
      <c r="E9">
        <f>-DebtSchedule!E4</f>
        <v/>
      </c>
      <c r="F9">
        <f>-DebtSchedule!F4</f>
        <v/>
      </c>
      <c r="G9">
        <f>-DebtSchedule!G4</f>
        <v/>
      </c>
    </row>
    <row r="10">
      <c r="A10" s="7" t="inlineStr">
        <is>
          <t>筹资活动现金流 CFF</t>
        </is>
      </c>
      <c r="C10">
        <f>C9</f>
        <v/>
      </c>
      <c r="D10">
        <f>D9</f>
        <v/>
      </c>
      <c r="E10">
        <f>E9</f>
        <v/>
      </c>
      <c r="F10">
        <f>F9</f>
        <v/>
      </c>
      <c r="G10">
        <f>G9</f>
        <v/>
      </c>
    </row>
    <row r="11">
      <c r="A11" s="7" t="inlineStr">
        <is>
          <t>现金净变动 Net Δcash</t>
        </is>
      </c>
      <c r="C11">
        <f>C6+C8+C10</f>
        <v/>
      </c>
      <c r="D11">
        <f>D6+D8+D10</f>
        <v/>
      </c>
      <c r="E11">
        <f>E6+E8+E10</f>
        <v/>
      </c>
      <c r="F11">
        <f>F6+F8+F10</f>
        <v/>
      </c>
      <c r="G11">
        <f>G6+G8+G10</f>
        <v/>
      </c>
    </row>
    <row r="12">
      <c r="A12" s="7" t="inlineStr">
        <is>
          <t>期初现金 Cash begin</t>
        </is>
      </c>
      <c r="C12">
        <f>B13</f>
        <v/>
      </c>
      <c r="D12">
        <f>C13</f>
        <v/>
      </c>
      <c r="E12">
        <f>D13</f>
        <v/>
      </c>
      <c r="F12">
        <f>E13</f>
        <v/>
      </c>
      <c r="G12">
        <f>F13</f>
        <v/>
      </c>
    </row>
    <row r="13">
      <c r="A13" s="7" t="inlineStr">
        <is>
          <t>期末现金 Cash end</t>
        </is>
      </c>
      <c r="B13" s="4" t="n">
        <v>5134.07</v>
      </c>
      <c r="C13">
        <f>C12+C11</f>
        <v/>
      </c>
      <c r="D13">
        <f>D12+D11</f>
        <v/>
      </c>
      <c r="E13">
        <f>E12+E11</f>
        <v/>
      </c>
      <c r="F13">
        <f>F12+F11</f>
        <v/>
      </c>
      <c r="G13">
        <f>G12+G11</f>
        <v/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现金 Cash</t>
        </is>
      </c>
      <c r="B3" s="4" t="n">
        <v>5134.07</v>
      </c>
      <c r="C3">
        <f>CashFlow!C13</f>
        <v/>
      </c>
      <c r="D3">
        <f>CashFlow!D13</f>
        <v/>
      </c>
      <c r="E3">
        <f>CashFlow!E13</f>
        <v/>
      </c>
      <c r="F3">
        <f>CashFlow!F13</f>
        <v/>
      </c>
      <c r="G3">
        <f>CashFlow!G13</f>
        <v/>
      </c>
    </row>
    <row r="4">
      <c r="A4" s="7" t="inlineStr">
        <is>
          <t>应收 AR</t>
        </is>
      </c>
      <c r="B4" s="4" t="n">
        <v>3931.34</v>
      </c>
      <c r="C4">
        <f>WorkingCapital!C3</f>
        <v/>
      </c>
      <c r="D4">
        <f>WorkingCapital!D3</f>
        <v/>
      </c>
      <c r="E4">
        <f>WorkingCapital!E3</f>
        <v/>
      </c>
      <c r="F4">
        <f>WorkingCapital!F3</f>
        <v/>
      </c>
      <c r="G4">
        <f>WorkingCapital!G3</f>
        <v/>
      </c>
    </row>
    <row r="5">
      <c r="A5" s="7" t="inlineStr">
        <is>
          <t>存货 Inventory</t>
        </is>
      </c>
      <c r="B5" s="4" t="n">
        <v>1546.02</v>
      </c>
      <c r="C5">
        <f>WorkingCapital!C4</f>
        <v/>
      </c>
      <c r="D5">
        <f>WorkingCapital!D4</f>
        <v/>
      </c>
      <c r="E5">
        <f>WorkingCapital!E4</f>
        <v/>
      </c>
      <c r="F5">
        <f>WorkingCapital!F4</f>
        <v/>
      </c>
      <c r="G5">
        <f>WorkingCapital!G4</f>
        <v/>
      </c>
    </row>
    <row r="6">
      <c r="A6" s="7" t="inlineStr">
        <is>
          <t>净固定资产 Net PP&amp;E</t>
        </is>
      </c>
      <c r="B6" s="4" t="n">
        <v>14198.9</v>
      </c>
      <c r="C6">
        <f>PPE!C8</f>
        <v/>
      </c>
      <c r="D6">
        <f>PPE!D8</f>
        <v/>
      </c>
      <c r="E6">
        <f>PPE!E8</f>
        <v/>
      </c>
      <c r="F6">
        <f>PPE!F8</f>
        <v/>
      </c>
      <c r="G6">
        <f>PPE!G8</f>
        <v/>
      </c>
    </row>
    <row r="7">
      <c r="A7" s="7" t="inlineStr">
        <is>
          <t>资产合计 Total assets</t>
        </is>
      </c>
      <c r="B7">
        <f>B3+B4+B5+B6</f>
        <v/>
      </c>
      <c r="C7">
        <f>C3+C4+C5+C6</f>
        <v/>
      </c>
      <c r="D7">
        <f>D3+D4+D5+D6</f>
        <v/>
      </c>
      <c r="E7">
        <f>E3+E4+E5+E6</f>
        <v/>
      </c>
      <c r="F7">
        <f>F3+F4+F5+F6</f>
        <v/>
      </c>
      <c r="G7">
        <f>G3+G4+G5+G6</f>
        <v/>
      </c>
    </row>
    <row r="8">
      <c r="A8" s="7" t="inlineStr">
        <is>
          <t>应付 AP</t>
        </is>
      </c>
      <c r="B8" s="4" t="n">
        <v>2024.55</v>
      </c>
      <c r="C8">
        <f>WorkingCapital!C5</f>
        <v/>
      </c>
      <c r="D8">
        <f>WorkingCapital!D5</f>
        <v/>
      </c>
      <c r="E8">
        <f>WorkingCapital!E5</f>
        <v/>
      </c>
      <c r="F8">
        <f>WorkingCapital!F5</f>
        <v/>
      </c>
      <c r="G8">
        <f>WorkingCapital!G5</f>
        <v/>
      </c>
    </row>
    <row r="9">
      <c r="A9" s="7" t="inlineStr">
        <is>
          <t>有息负债 Debt</t>
        </is>
      </c>
      <c r="B9" s="4" t="n">
        <v>10865.33</v>
      </c>
      <c r="C9">
        <f>DebtSchedule!C5</f>
        <v/>
      </c>
      <c r="D9">
        <f>DebtSchedule!D5</f>
        <v/>
      </c>
      <c r="E9">
        <f>DebtSchedule!E5</f>
        <v/>
      </c>
      <c r="F9">
        <f>DebtSchedule!F5</f>
        <v/>
      </c>
      <c r="G9">
        <f>DebtSchedule!G5</f>
        <v/>
      </c>
    </row>
    <row r="10">
      <c r="A10" s="7" t="inlineStr">
        <is>
          <t>负债合计 Total liab</t>
        </is>
      </c>
      <c r="B10">
        <f>B8+B9</f>
        <v/>
      </c>
      <c r="C10">
        <f>C8+C9</f>
        <v/>
      </c>
      <c r="D10">
        <f>D8+D9</f>
        <v/>
      </c>
      <c r="E10">
        <f>E8+E9</f>
        <v/>
      </c>
      <c r="F10">
        <f>F8+F9</f>
        <v/>
      </c>
      <c r="G10">
        <f>G8+G9</f>
        <v/>
      </c>
    </row>
    <row r="11">
      <c r="A11" s="7" t="inlineStr">
        <is>
          <t>所有者权益 Equity</t>
        </is>
      </c>
      <c r="B11" s="4" t="n">
        <v>11920.45</v>
      </c>
      <c r="C11">
        <f>B11+IncomeStatement!C12</f>
        <v/>
      </c>
      <c r="D11">
        <f>C11+IncomeStatement!D12</f>
        <v/>
      </c>
      <c r="E11">
        <f>D11+IncomeStatement!E12</f>
        <v/>
      </c>
      <c r="F11">
        <f>E11+IncomeStatement!F12</f>
        <v/>
      </c>
      <c r="G11">
        <f>F11+IncomeStatement!G12</f>
        <v/>
      </c>
    </row>
    <row r="12">
      <c r="A12" s="7" t="inlineStr">
        <is>
          <t>负债+权益 Total L&amp;E</t>
        </is>
      </c>
      <c r="B12">
        <f>B10+B11</f>
        <v/>
      </c>
      <c r="C12">
        <f>C10+C11</f>
        <v/>
      </c>
      <c r="D12">
        <f>D10+D11</f>
        <v/>
      </c>
      <c r="E12">
        <f>E10+E11</f>
        <v/>
      </c>
      <c r="F12">
        <f>F10+F11</f>
        <v/>
      </c>
      <c r="G12">
        <f>G10+G11</f>
        <v/>
      </c>
    </row>
    <row r="13">
      <c r="A13" s="7" t="inlineStr">
        <is>
          <t>平衡校验 Check(=0)</t>
        </is>
      </c>
      <c r="B13">
        <f>B7-B12</f>
        <v/>
      </c>
      <c r="C13">
        <f>C7-C12</f>
        <v/>
      </c>
      <c r="D13">
        <f>D7-D12</f>
        <v/>
      </c>
      <c r="E13">
        <f>E7-E12</f>
        <v/>
      </c>
      <c r="F13">
        <f>F7-F12</f>
        <v/>
      </c>
      <c r="G13">
        <f>G7-G12</f>
        <v/>
      </c>
    </row>
  </sheetData>
  <mergeCells count="1">
    <mergeCell ref="A1:G1"/>
  </mergeCells>
  <conditionalFormatting sqref="B13:G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EBIT</t>
        </is>
      </c>
      <c r="C3">
        <f>IncomeStatement!C8</f>
        <v/>
      </c>
      <c r="D3">
        <f>IncomeStatement!D8</f>
        <v/>
      </c>
      <c r="E3">
        <f>IncomeStatement!E8</f>
        <v/>
      </c>
      <c r="F3">
        <f>IncomeStatement!F8</f>
        <v/>
      </c>
      <c r="G3">
        <f>IncomeStatement!G8</f>
        <v/>
      </c>
    </row>
    <row r="4">
      <c r="A4" s="7" t="inlineStr">
        <is>
          <t>NOPAT=EBIT×(1-tax)</t>
        </is>
      </c>
      <c r="C4">
        <f>C3*(1-Assumptions!B6)</f>
        <v/>
      </c>
      <c r="D4">
        <f>D3*(1-Assumptions!B6)</f>
        <v/>
      </c>
      <c r="E4">
        <f>E3*(1-Assumptions!B6)</f>
        <v/>
      </c>
      <c r="F4">
        <f>F3*(1-Assumptions!B6)</f>
        <v/>
      </c>
      <c r="G4">
        <f>G3*(1-Assumptions!B6)</f>
        <v/>
      </c>
    </row>
    <row r="5">
      <c r="A5" s="7" t="inlineStr">
        <is>
          <t>加:D&amp;A</t>
        </is>
      </c>
      <c r="C5">
        <f>PPE!C6</f>
        <v/>
      </c>
      <c r="D5">
        <f>PPE!D6</f>
        <v/>
      </c>
      <c r="E5">
        <f>PPE!E6</f>
        <v/>
      </c>
      <c r="F5">
        <f>PPE!F6</f>
        <v/>
      </c>
      <c r="G5">
        <f>PPE!G6</f>
        <v/>
      </c>
    </row>
    <row r="6">
      <c r="A6" s="7" t="inlineStr">
        <is>
          <t>减:Capex</t>
        </is>
      </c>
      <c r="C6">
        <f>-PPE!C4</f>
        <v/>
      </c>
      <c r="D6">
        <f>-PPE!D4</f>
        <v/>
      </c>
      <c r="E6">
        <f>-PPE!E4</f>
        <v/>
      </c>
      <c r="F6">
        <f>-PPE!F4</f>
        <v/>
      </c>
      <c r="G6">
        <f>-PPE!G4</f>
        <v/>
      </c>
    </row>
    <row r="7">
      <c r="A7" s="7" t="inlineStr">
        <is>
          <t>减:ΔNWC</t>
        </is>
      </c>
      <c r="C7">
        <f>-WorkingCapital!C7</f>
        <v/>
      </c>
      <c r="D7">
        <f>-WorkingCapital!D7</f>
        <v/>
      </c>
      <c r="E7">
        <f>-WorkingCapital!E7</f>
        <v/>
      </c>
      <c r="F7">
        <f>-WorkingCapital!F7</f>
        <v/>
      </c>
      <c r="G7">
        <f>-WorkingCapital!G7</f>
        <v/>
      </c>
    </row>
    <row r="8">
      <c r="A8" s="7" t="inlineStr">
        <is>
          <t>无杠杆自由现金流 FCFF</t>
        </is>
      </c>
      <c r="C8">
        <f>C4+C5+C6+C7</f>
        <v/>
      </c>
      <c r="D8">
        <f>D4+D5+D6+D7</f>
        <v/>
      </c>
      <c r="E8">
        <f>E4+E5+E6+E7</f>
        <v/>
      </c>
      <c r="F8">
        <f>F4+F5+F6+F7</f>
        <v/>
      </c>
      <c r="G8">
        <f>G4+G5+G6+G7</f>
        <v/>
      </c>
    </row>
    <row r="9">
      <c r="A9" s="7" t="inlineStr">
        <is>
          <t>折现因子 DF</t>
        </is>
      </c>
      <c r="C9">
        <f>1/(1+Assumptions!B13)^(1-0.5)</f>
        <v/>
      </c>
      <c r="D9">
        <f>1/(1+Assumptions!B13)^(2-0.5)</f>
        <v/>
      </c>
      <c r="E9">
        <f>1/(1+Assumptions!B13)^(3-0.5)</f>
        <v/>
      </c>
      <c r="F9">
        <f>1/(1+Assumptions!B13)^(4-0.5)</f>
        <v/>
      </c>
      <c r="G9">
        <f>1/(1+Assumptions!B13)^(5-0.5)</f>
        <v/>
      </c>
    </row>
    <row r="10">
      <c r="A10" s="7" t="inlineStr">
        <is>
          <t>FCF现值 PV</t>
        </is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</row>
    <row r="12">
      <c r="A12" s="7" t="inlineStr">
        <is>
          <t>预测期PV合计 Σ PV(FCF)</t>
        </is>
      </c>
      <c r="B12">
        <f>SUM(C10:G10)</f>
        <v/>
      </c>
    </row>
    <row r="13">
      <c r="A13" s="7" t="inlineStr">
        <is>
          <t>终值 Terminal value</t>
        </is>
      </c>
      <c r="B13">
        <f>G8*(1+Assumptions!B14)/(Assumptions!B13-Assumptions!B14)</f>
        <v/>
      </c>
    </row>
    <row r="14">
      <c r="A14" s="7" t="inlineStr">
        <is>
          <t>终值现值 PV(TV)</t>
        </is>
      </c>
      <c r="B14">
        <f>B13*G9</f>
        <v/>
      </c>
    </row>
    <row r="15">
      <c r="A15" s="7" t="inlineStr">
        <is>
          <t>企业价值 Enterprise value</t>
        </is>
      </c>
      <c r="B15">
        <f>B12+B14</f>
        <v/>
      </c>
    </row>
    <row r="16">
      <c r="A16" s="7" t="inlineStr">
        <is>
          <t>净负债 Net debt</t>
        </is>
      </c>
      <c r="B16">
        <f>Assumptions!B19-Assumptions!B16</f>
        <v/>
      </c>
    </row>
    <row r="17">
      <c r="A17" s="7" t="inlineStr">
        <is>
          <t>股权价值 Equity value</t>
        </is>
      </c>
      <c r="B17">
        <f>B15-B16</f>
        <v/>
      </c>
    </row>
    <row r="18">
      <c r="A18" s="7" t="inlineStr">
        <is>
          <t>每股价值 Value per share</t>
        </is>
      </c>
      <c r="B18">
        <f>B17/Assumptions!B15</f>
        <v/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Misc</t>
        </is>
      </c>
      <c r="B3" s="4" t="n">
        <v>88520.45</v>
      </c>
      <c r="C3" s="3" t="inlineStr">
        <is>
          <t>check later</t>
        </is>
      </c>
    </row>
    <row r="4">
      <c r="A4" s="3" t="inlineStr">
        <is>
          <t>调整</t>
        </is>
      </c>
      <c r="B4" s="4" t="n">
        <v>18077.03</v>
      </c>
      <c r="C4" s="3" t="inlineStr">
        <is>
          <t>check later</t>
        </is>
      </c>
    </row>
    <row r="5">
      <c r="A5" s="3" t="inlineStr">
        <is>
          <t>调整</t>
        </is>
      </c>
      <c r="B5" s="4" t="n">
        <v>78021.16</v>
      </c>
      <c r="C5" s="3" t="inlineStr">
        <is>
          <t>old</t>
        </is>
      </c>
    </row>
    <row r="6">
      <c r="A6" s="3" t="inlineStr">
        <is>
          <t>调整</t>
        </is>
      </c>
      <c r="B6" s="4" t="n">
        <v>69440.64999999999</v>
      </c>
      <c r="C6" s="3" t="inlineStr">
        <is>
          <t>old</t>
        </is>
      </c>
    </row>
    <row r="7">
      <c r="A7" s="3" t="inlineStr">
        <is>
          <t>Misc</t>
        </is>
      </c>
      <c r="B7" s="4" t="n">
        <v>35846.29</v>
      </c>
      <c r="C7" s="3" t="inlineStr">
        <is>
          <t>check later</t>
        </is>
      </c>
    </row>
    <row r="8">
      <c r="A8" s="3" t="inlineStr">
        <is>
          <t>调整</t>
        </is>
      </c>
      <c r="B8" s="4" t="n">
        <v>37433.5</v>
      </c>
      <c r="C8" s="3" t="inlineStr">
        <is>
          <t>old</t>
        </is>
      </c>
    </row>
    <row r="9">
      <c r="A9" s="3" t="inlineStr">
        <is>
          <t>TBD</t>
        </is>
      </c>
      <c r="B9" s="4" t="n">
        <v>79181.85000000001</v>
      </c>
      <c r="C9" s="3" t="inlineStr">
        <is>
          <t>check later</t>
        </is>
      </c>
    </row>
    <row r="10">
      <c r="A10" s="3" t="inlineStr">
        <is>
          <t>杂项</t>
        </is>
      </c>
      <c r="B10" s="4" t="n">
        <v>87615.58</v>
      </c>
      <c r="C10" s="3" t="inlineStr">
        <is>
          <t>check later</t>
        </is>
      </c>
    </row>
    <row r="11">
      <c r="A11" s="3" t="inlineStr">
        <is>
          <t>杂项</t>
        </is>
      </c>
      <c r="B11" s="4" t="n">
        <v>8200.870000000001</v>
      </c>
      <c r="C11" s="3" t="inlineStr">
        <is>
          <t>废弃</t>
        </is>
      </c>
    </row>
    <row r="12">
      <c r="A12" s="3" t="inlineStr">
        <is>
          <t>TBD</t>
        </is>
      </c>
      <c r="B12" s="4" t="n">
        <v>88187.78</v>
      </c>
      <c r="C12" s="3" t="inlineStr"/>
    </row>
    <row r="13">
      <c r="A13" s="3" t="inlineStr">
        <is>
          <t>调整</t>
        </is>
      </c>
      <c r="B13" s="4" t="n">
        <v>82761.22</v>
      </c>
      <c r="C13" s="3" t="inlineStr">
        <is>
          <t>old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Misc</t>
        </is>
      </c>
      <c r="B3" s="4" t="n">
        <v>86291.98</v>
      </c>
      <c r="C3" s="3" t="inlineStr">
        <is>
          <t>check later</t>
        </is>
      </c>
    </row>
    <row r="4">
      <c r="A4" s="3" t="inlineStr">
        <is>
          <t>预留</t>
        </is>
      </c>
      <c r="B4" s="4" t="n">
        <v>50804.19</v>
      </c>
      <c r="C4" s="3" t="inlineStr">
        <is>
          <t>废弃</t>
        </is>
      </c>
    </row>
    <row r="5">
      <c r="A5" s="3" t="inlineStr">
        <is>
          <t>预留</t>
        </is>
      </c>
      <c r="B5" s="4" t="n">
        <v>40134.3</v>
      </c>
      <c r="C5" s="3" t="inlineStr"/>
    </row>
    <row r="6">
      <c r="A6" s="3" t="inlineStr">
        <is>
          <t>预留</t>
        </is>
      </c>
      <c r="B6" s="4" t="n">
        <v>31879.48</v>
      </c>
      <c r="C6" s="3" t="inlineStr">
        <is>
          <t>废弃</t>
        </is>
      </c>
    </row>
    <row r="7">
      <c r="A7" s="3" t="inlineStr">
        <is>
          <t>Misc</t>
        </is>
      </c>
      <c r="B7" s="4" t="n">
        <v>67521.58</v>
      </c>
      <c r="C7" s="3" t="inlineStr">
        <is>
          <t>old</t>
        </is>
      </c>
    </row>
    <row r="8">
      <c r="A8" s="3" t="inlineStr">
        <is>
          <t>杂项</t>
        </is>
      </c>
      <c r="B8" s="4" t="n">
        <v>45487.49</v>
      </c>
      <c r="C8" s="3" t="inlineStr">
        <is>
          <t>old</t>
        </is>
      </c>
    </row>
    <row r="9">
      <c r="A9" s="3" t="inlineStr">
        <is>
          <t>TBD</t>
        </is>
      </c>
      <c r="B9" s="4" t="n">
        <v>72651.21000000001</v>
      </c>
      <c r="C9" s="3" t="inlineStr"/>
    </row>
    <row r="10">
      <c r="A10" s="3" t="inlineStr">
        <is>
          <t>杂项</t>
        </is>
      </c>
      <c r="B10" s="4" t="n">
        <v>72655.44</v>
      </c>
      <c r="C10" s="3" t="inlineStr"/>
    </row>
    <row r="11">
      <c r="A11" s="3" t="inlineStr">
        <is>
          <t>Misc</t>
        </is>
      </c>
      <c r="B11" s="4" t="n">
        <v>35149.22</v>
      </c>
      <c r="C11" s="3" t="inlineStr">
        <is>
          <t>check later</t>
        </is>
      </c>
    </row>
    <row r="12">
      <c r="A12" s="3" t="inlineStr">
        <is>
          <t>预留</t>
        </is>
      </c>
      <c r="B12" s="4" t="n">
        <v>47495.14</v>
      </c>
      <c r="C12" s="3" t="inlineStr"/>
    </row>
    <row r="13">
      <c r="A13" s="3" t="inlineStr">
        <is>
          <t>预留</t>
        </is>
      </c>
      <c r="B13" s="4" t="n">
        <v>37685.7</v>
      </c>
      <c r="C13" s="3" t="inlineStr"/>
    </row>
    <row r="14">
      <c r="A14" s="3" t="inlineStr">
        <is>
          <t>TBD</t>
        </is>
      </c>
      <c r="B14" s="4" t="n">
        <v>23615.4</v>
      </c>
      <c r="C14" s="3" t="inlineStr">
        <is>
          <t>废弃</t>
        </is>
      </c>
    </row>
    <row r="15">
      <c r="A15" s="3" t="inlineStr">
        <is>
          <t>Misc</t>
        </is>
      </c>
      <c r="B15" s="4" t="n">
        <v>22678.28</v>
      </c>
      <c r="C15" s="3" t="inlineStr">
        <is>
          <t>old</t>
        </is>
      </c>
    </row>
    <row r="16">
      <c r="A16" s="3" t="inlineStr">
        <is>
          <t>Misc</t>
        </is>
      </c>
      <c r="B16" s="4" t="n">
        <v>84753.17</v>
      </c>
      <c r="C16" s="3" t="inlineStr">
        <is>
          <t>old</t>
        </is>
      </c>
    </row>
    <row r="17">
      <c r="A17" s="3" t="inlineStr">
        <is>
          <t>杂项</t>
        </is>
      </c>
      <c r="B17" s="4" t="n">
        <v>21002.5</v>
      </c>
      <c r="C17" s="3" t="inlineStr">
        <is>
          <t>废弃</t>
        </is>
      </c>
    </row>
    <row r="18">
      <c r="A18" s="3" t="inlineStr">
        <is>
          <t>TBD</t>
        </is>
      </c>
      <c r="B18" s="4" t="n">
        <v>71244.50999999999</v>
      </c>
      <c r="C18" s="3" t="inlineStr"/>
    </row>
    <row r="19">
      <c r="A19" s="3" t="inlineStr">
        <is>
          <t>TBD</t>
        </is>
      </c>
      <c r="B19" s="4" t="n">
        <v>19482.08</v>
      </c>
      <c r="C19" s="3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调整</t>
        </is>
      </c>
      <c r="B3" s="4" t="n">
        <v>46047.01</v>
      </c>
      <c r="C3" s="3" t="inlineStr">
        <is>
          <t>废弃</t>
        </is>
      </c>
    </row>
    <row r="4">
      <c r="A4" s="3" t="inlineStr">
        <is>
          <t>Misc</t>
        </is>
      </c>
      <c r="B4" s="4" t="n">
        <v>51225.21</v>
      </c>
      <c r="C4" s="3" t="inlineStr">
        <is>
          <t>废弃</t>
        </is>
      </c>
    </row>
    <row r="5">
      <c r="A5" s="3" t="inlineStr">
        <is>
          <t>调整</t>
        </is>
      </c>
      <c r="B5" s="4" t="n">
        <v>28645.13</v>
      </c>
      <c r="C5" s="3" t="inlineStr">
        <is>
          <t>old</t>
        </is>
      </c>
    </row>
    <row r="6">
      <c r="A6" s="3" t="inlineStr">
        <is>
          <t>预留</t>
        </is>
      </c>
      <c r="B6" s="4" t="n">
        <v>9907.34</v>
      </c>
      <c r="C6" s="3" t="inlineStr">
        <is>
          <t>废弃</t>
        </is>
      </c>
    </row>
    <row r="7">
      <c r="A7" s="3" t="inlineStr">
        <is>
          <t>Misc</t>
        </is>
      </c>
      <c r="B7" s="4" t="n">
        <v>35221.2</v>
      </c>
      <c r="C7" s="3" t="inlineStr"/>
    </row>
    <row r="8">
      <c r="A8" s="3" t="inlineStr">
        <is>
          <t>调整</t>
        </is>
      </c>
      <c r="B8" s="4" t="n">
        <v>74108.89</v>
      </c>
      <c r="C8" s="3" t="inlineStr">
        <is>
          <t>old</t>
        </is>
      </c>
    </row>
    <row r="9">
      <c r="A9" s="3" t="inlineStr">
        <is>
          <t>调整</t>
        </is>
      </c>
      <c r="B9" s="4" t="n">
        <v>59852.11</v>
      </c>
      <c r="C9" s="3" t="inlineStr"/>
    </row>
    <row r="10">
      <c r="A10" s="3" t="inlineStr">
        <is>
          <t>TBD</t>
        </is>
      </c>
      <c r="B10" s="4" t="n">
        <v>63289.58</v>
      </c>
      <c r="C10" s="3" t="inlineStr">
        <is>
          <t>check later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2026-07-23T23:31:04Z</dcterms:created>
  <dcterms:modified xsi:type="dcterms:W3CDTF">2026-07-23T23:31:05Z</dcterms:modified>
</cp:coreProperties>
</file>