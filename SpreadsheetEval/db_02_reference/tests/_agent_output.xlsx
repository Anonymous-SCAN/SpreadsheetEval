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临时草稿" sheetId="10" state="visible" r:id="rId10"/>
    <sheet name="Archive_2019" sheetId="11" state="visible" r:id="rId11"/>
    <sheet name="Scratc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关键假设 Key Assumptions — 医疗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21102.02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0.3633</v>
      </c>
      <c r="C4" s="3" t="inlineStr"/>
    </row>
    <row r="5">
      <c r="A5" s="3" t="inlineStr">
        <is>
          <t>费用率 Opex %</t>
        </is>
      </c>
      <c r="B5" s="5" t="n">
        <v>0.2139</v>
      </c>
      <c r="C5" s="3" t="inlineStr"/>
    </row>
    <row r="6">
      <c r="A6" s="3" t="inlineStr">
        <is>
          <t>所得税率 Tax rate</t>
        </is>
      </c>
      <c r="B6" s="5" t="n">
        <v>0.1802</v>
      </c>
      <c r="C6" s="3" t="inlineStr"/>
    </row>
    <row r="7">
      <c r="A7" s="3" t="inlineStr">
        <is>
          <t>资本开支率 Capex %</t>
        </is>
      </c>
      <c r="B7" s="5" t="n">
        <v>0.08459999999999999</v>
      </c>
      <c r="C7" s="3" t="inlineStr"/>
    </row>
    <row r="8">
      <c r="A8" s="3" t="inlineStr">
        <is>
          <t>折旧年限 Dep. years</t>
        </is>
      </c>
      <c r="B8" s="3" t="n">
        <v>10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68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42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55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0.0563</v>
      </c>
      <c r="C12" s="3" t="inlineStr"/>
    </row>
    <row r="13">
      <c r="A13" s="3" t="inlineStr">
        <is>
          <t>WACC</t>
        </is>
      </c>
      <c r="B13" s="5" t="n">
        <v>0.0964</v>
      </c>
      <c r="C13" s="3" t="inlineStr"/>
    </row>
    <row r="14">
      <c r="A14" s="3" t="inlineStr">
        <is>
          <t>永续增长 Terminal growth</t>
        </is>
      </c>
      <c r="B14" s="5" t="n">
        <v>0.027</v>
      </c>
      <c r="C14" s="3" t="inlineStr"/>
    </row>
    <row r="15">
      <c r="A15" s="3" t="inlineStr">
        <is>
          <t>股本 Shares</t>
        </is>
      </c>
      <c r="B15" s="6" t="n">
        <v>1101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5134.07</v>
      </c>
      <c r="C16" s="3" t="inlineStr"/>
    </row>
    <row r="17">
      <c r="A17" s="3" t="inlineStr">
        <is>
          <t>期初固定资产原值</t>
        </is>
      </c>
      <c r="B17" s="4" t="n">
        <v>16539.7</v>
      </c>
      <c r="C17" s="3" t="inlineStr"/>
    </row>
    <row r="18">
      <c r="A18" s="3" t="inlineStr">
        <is>
          <t>期初累计折旧</t>
        </is>
      </c>
      <c r="B18" s="4" t="n">
        <v>2340.8</v>
      </c>
      <c r="C18" s="3" t="inlineStr"/>
    </row>
    <row r="19">
      <c r="A19" s="3" t="inlineStr">
        <is>
          <t>期初有息负债</t>
        </is>
      </c>
      <c r="B19" s="4" t="n">
        <v>10865.33</v>
      </c>
      <c r="C19" s="3" t="inlineStr"/>
    </row>
    <row r="20">
      <c r="A20" s="3" t="inlineStr">
        <is>
          <t>残值率 Salvage %</t>
        </is>
      </c>
      <c r="B20" s="5" t="n">
        <v>0.0625</v>
      </c>
      <c r="C20" s="3" t="inlineStr"/>
    </row>
    <row r="21">
      <c r="A21" s="3" t="inlineStr">
        <is>
          <t>毛利率年提升 GM ramp/yr</t>
        </is>
      </c>
      <c r="B21" s="5" t="n">
        <v>0.0125</v>
      </c>
      <c r="C21" s="3" t="inlineStr"/>
    </row>
    <row r="22">
      <c r="A22" s="3" t="inlineStr">
        <is>
          <t>固定费用 Fixed opex</t>
        </is>
      </c>
      <c r="B22" s="4" t="n">
        <v>941.29</v>
      </c>
      <c r="C22" s="3" t="inlineStr"/>
    </row>
    <row r="23">
      <c r="A23" s="3" t="inlineStr">
        <is>
          <t>收入增速 2025 Growth</t>
        </is>
      </c>
      <c r="B23" s="5" t="n">
        <v>0.1656</v>
      </c>
    </row>
    <row r="24">
      <c r="A24" s="3" t="inlineStr">
        <is>
          <t>收入增速 2026 Growth</t>
        </is>
      </c>
      <c r="B24" s="5" t="n">
        <v>0.2756</v>
      </c>
    </row>
    <row r="25">
      <c r="A25" s="3" t="inlineStr">
        <is>
          <t>收入增速 2027 Growth</t>
        </is>
      </c>
      <c r="B25" s="5" t="n">
        <v>0.3429</v>
      </c>
    </row>
    <row r="26">
      <c r="A26" s="3" t="inlineStr">
        <is>
          <t>收入增速 2028 Growth</t>
        </is>
      </c>
      <c r="B26" s="5" t="n">
        <v>0.2184</v>
      </c>
    </row>
    <row r="27">
      <c r="A27" s="3" t="inlineStr">
        <is>
          <t>收入增速 2029 Growth</t>
        </is>
      </c>
      <c r="B27" s="5" t="n">
        <v>0.3157</v>
      </c>
    </row>
    <row r="28">
      <c r="A28" s="3" t="inlineStr">
        <is>
          <t>还本 2025 Debt repayment</t>
        </is>
      </c>
      <c r="B28" s="4" t="n">
        <v>743.08</v>
      </c>
    </row>
    <row r="29">
      <c r="A29" s="3" t="inlineStr">
        <is>
          <t>还本 2026 Debt repayment</t>
        </is>
      </c>
      <c r="B29" s="4" t="n">
        <v>1171.16</v>
      </c>
    </row>
    <row r="30">
      <c r="A30" s="3" t="inlineStr">
        <is>
          <t>还本 2027 Debt repayment</t>
        </is>
      </c>
      <c r="B30" s="4" t="n">
        <v>1137.06</v>
      </c>
    </row>
    <row r="31">
      <c r="A31" s="3" t="inlineStr">
        <is>
          <t>还本 2028 Debt repayment</t>
        </is>
      </c>
      <c r="B31" s="4" t="n">
        <v>459.51</v>
      </c>
    </row>
    <row r="32">
      <c r="A32" s="3" t="inlineStr">
        <is>
          <t>还本 2029 Debt repayment</t>
        </is>
      </c>
      <c r="B32" s="4" t="n">
        <v>864.0700000000001</v>
      </c>
    </row>
    <row r="34">
      <c r="A34" s="7" t="inlineStr">
        <is>
          <t>★ 会计口径约定 House conventions（务必遵循）</t>
        </is>
      </c>
    </row>
    <row r="35">
      <c r="A35" t="inlineStr">
        <is>
          <t>• 折旧按【期初原值】计提（非期末）：Depreciation = 期初原值 / 折旧年限。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期间费用 = 收入 × 费用率 + 固定费用（含一笔固定管理费）。</t>
        </is>
      </c>
    </row>
    <row r="40">
      <c r="A40" t="inlineStr">
        <is>
          <t>• 毛利率逐年提升：第 t 年毛利率 = 基准毛利率 + GM ramp ×(t−1)。</t>
        </is>
      </c>
    </row>
    <row r="41">
      <c r="A41" t="inlineStr">
        <is>
          <t>• DCF 采用【期中折现】：折现因子 = 1/(1+WACC)^(t−0.5)。</t>
        </is>
      </c>
    </row>
    <row r="42">
      <c r="A42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5:F35"/>
    <mergeCell ref="A39:F39"/>
  </mergeCells>
  <dataValidations count="1">
    <dataValidation sqref="B3:B32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B3" s="4" t="n">
        <v>21102.02</v>
      </c>
      <c r="C3">
        <f>B3*(1+Assumptions!B23)</f>
        <v/>
      </c>
      <c r="D3">
        <f>C3*(1+Assumptions!B24)</f>
        <v/>
      </c>
      <c r="E3">
        <f>D3*(1+Assumptions!B25)</f>
        <v/>
      </c>
      <c r="F3">
        <f>E3*(1+Assumptions!B26)</f>
        <v/>
      </c>
      <c r="G3">
        <f>F3*(1+Assumptions!B27)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MAX(Revenue!C3*Assumptions!B7,B6)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16539.7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C3*(1-Assumptions!B20)/Assumptions!B8</f>
        <v/>
      </c>
      <c r="D6">
        <f>D3*(1-Assumptions!B20)/Assumptions!B8</f>
        <v/>
      </c>
      <c r="E6">
        <f>E3*(1-Assumptions!B20)/Assumptions!B8</f>
        <v/>
      </c>
      <c r="F6">
        <f>F3*(1-Assumptions!B20)/Assumptions!B8</f>
        <v/>
      </c>
      <c r="G6">
        <f>G3*(1-Assumptions!B20)/Assumptions!B8</f>
        <v/>
      </c>
    </row>
    <row r="7" hidden="1">
      <c r="A7" s="7" t="inlineStr">
        <is>
          <t>累计折旧 Accum. dep</t>
        </is>
      </c>
      <c r="B7" s="4" t="n">
        <v>2340.8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  <c r="G6">
        <f>G3*Assumptions!B5+Assumptions!B22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Assumptions!B28</f>
        <v/>
      </c>
      <c r="D4">
        <f>Assumptions!B29</f>
        <v/>
      </c>
      <c r="E4">
        <f>Assumptions!B30</f>
        <v/>
      </c>
      <c r="F4">
        <f>Assumptions!B31</f>
        <v/>
      </c>
      <c r="G4">
        <f>Assumptions!B32</f>
        <v/>
      </c>
    </row>
    <row r="5">
      <c r="A5" s="7" t="inlineStr">
        <is>
          <t>期末负债 Debt end</t>
        </is>
      </c>
      <c r="B5" s="4" t="n">
        <v>10865.33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应收账款 AR</t>
        </is>
      </c>
      <c r="B3" s="4" t="n">
        <v>3931.34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  <c r="G3">
        <f>IncomeStatement!G3*Assumptions!B9/360</f>
        <v/>
      </c>
    </row>
    <row r="4">
      <c r="A4" s="7" t="inlineStr">
        <is>
          <t>存货 Inventory</t>
        </is>
      </c>
      <c r="B4" s="4" t="n">
        <v>1546.02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  <c r="G4">
        <f>IncomeStatement!G4*Assumptions!B10/360</f>
        <v/>
      </c>
    </row>
    <row r="5">
      <c r="A5" s="7" t="inlineStr">
        <is>
          <t>应付账款 AP</t>
        </is>
      </c>
      <c r="B5" s="4" t="n">
        <v>2024.55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  <c r="G5">
        <f>IncomeStatement!G4*Assumptions!B11/360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  <c r="G4">
        <f>PPE!G6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  <c r="G5">
        <f>-WorkingCapital!G7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  <c r="G7">
        <f>-PPE!G4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  <c r="G8">
        <f>G7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  <c r="G9">
        <f>-DebtSchedule!G4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  <c r="G10">
        <f>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5134.07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现金 Cash</t>
        </is>
      </c>
      <c r="B3" s="4" t="n">
        <v>5134.07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3931.34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1546.02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14198.9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2024.55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10865.33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11920.45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G8*(1+Assumptions!B14)/(Assumptions!B13-Assumptions!B14)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88520.45</v>
      </c>
      <c r="C3" s="3" t="inlineStr">
        <is>
          <t>check later</t>
        </is>
      </c>
    </row>
    <row r="4">
      <c r="A4" s="3" t="inlineStr">
        <is>
          <t>调整</t>
        </is>
      </c>
      <c r="B4" s="4" t="n">
        <v>18077.03</v>
      </c>
      <c r="C4" s="3" t="inlineStr">
        <is>
          <t>check later</t>
        </is>
      </c>
    </row>
    <row r="5">
      <c r="A5" s="3" t="inlineStr">
        <is>
          <t>调整</t>
        </is>
      </c>
      <c r="B5" s="4" t="n">
        <v>78021.16</v>
      </c>
      <c r="C5" s="3" t="inlineStr">
        <is>
          <t>old</t>
        </is>
      </c>
    </row>
    <row r="6">
      <c r="A6" s="3" t="inlineStr">
        <is>
          <t>调整</t>
        </is>
      </c>
      <c r="B6" s="4" t="n">
        <v>69440.64999999999</v>
      </c>
      <c r="C6" s="3" t="inlineStr">
        <is>
          <t>old</t>
        </is>
      </c>
    </row>
    <row r="7">
      <c r="A7" s="3" t="inlineStr">
        <is>
          <t>Misc</t>
        </is>
      </c>
      <c r="B7" s="4" t="n">
        <v>35846.29</v>
      </c>
      <c r="C7" s="3" t="inlineStr">
        <is>
          <t>check later</t>
        </is>
      </c>
    </row>
    <row r="8">
      <c r="A8" s="3" t="inlineStr">
        <is>
          <t>调整</t>
        </is>
      </c>
      <c r="B8" s="4" t="n">
        <v>37433.5</v>
      </c>
      <c r="C8" s="3" t="inlineStr">
        <is>
          <t>old</t>
        </is>
      </c>
    </row>
    <row r="9">
      <c r="A9" s="3" t="inlineStr">
        <is>
          <t>TBD</t>
        </is>
      </c>
      <c r="B9" s="4" t="n">
        <v>79181.85000000001</v>
      </c>
      <c r="C9" s="3" t="inlineStr">
        <is>
          <t>check later</t>
        </is>
      </c>
    </row>
    <row r="10">
      <c r="A10" s="3" t="inlineStr">
        <is>
          <t>杂项</t>
        </is>
      </c>
      <c r="B10" s="4" t="n">
        <v>87615.58</v>
      </c>
      <c r="C10" s="3" t="inlineStr">
        <is>
          <t>check later</t>
        </is>
      </c>
    </row>
    <row r="11">
      <c r="A11" s="3" t="inlineStr">
        <is>
          <t>杂项</t>
        </is>
      </c>
      <c r="B11" s="4" t="n">
        <v>8200.870000000001</v>
      </c>
      <c r="C11" s="3" t="inlineStr">
        <is>
          <t>废弃</t>
        </is>
      </c>
    </row>
    <row r="12">
      <c r="A12" s="3" t="inlineStr">
        <is>
          <t>TBD</t>
        </is>
      </c>
      <c r="B12" s="4" t="n">
        <v>88187.78</v>
      </c>
      <c r="C12" s="3" t="inlineStr"/>
    </row>
    <row r="13">
      <c r="A13" s="3" t="inlineStr">
        <is>
          <t>调整</t>
        </is>
      </c>
      <c r="B13" s="4" t="n">
        <v>82761.22</v>
      </c>
      <c r="C13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86291.98</v>
      </c>
      <c r="C3" s="3" t="inlineStr">
        <is>
          <t>check later</t>
        </is>
      </c>
    </row>
    <row r="4">
      <c r="A4" s="3" t="inlineStr">
        <is>
          <t>预留</t>
        </is>
      </c>
      <c r="B4" s="4" t="n">
        <v>50804.19</v>
      </c>
      <c r="C4" s="3" t="inlineStr">
        <is>
          <t>废弃</t>
        </is>
      </c>
    </row>
    <row r="5">
      <c r="A5" s="3" t="inlineStr">
        <is>
          <t>预留</t>
        </is>
      </c>
      <c r="B5" s="4" t="n">
        <v>40134.3</v>
      </c>
      <c r="C5" s="3" t="inlineStr"/>
    </row>
    <row r="6">
      <c r="A6" s="3" t="inlineStr">
        <is>
          <t>预留</t>
        </is>
      </c>
      <c r="B6" s="4" t="n">
        <v>31879.48</v>
      </c>
      <c r="C6" s="3" t="inlineStr">
        <is>
          <t>废弃</t>
        </is>
      </c>
    </row>
    <row r="7">
      <c r="A7" s="3" t="inlineStr">
        <is>
          <t>Misc</t>
        </is>
      </c>
      <c r="B7" s="4" t="n">
        <v>67521.58</v>
      </c>
      <c r="C7" s="3" t="inlineStr">
        <is>
          <t>old</t>
        </is>
      </c>
    </row>
    <row r="8">
      <c r="A8" s="3" t="inlineStr">
        <is>
          <t>杂项</t>
        </is>
      </c>
      <c r="B8" s="4" t="n">
        <v>45487.49</v>
      </c>
      <c r="C8" s="3" t="inlineStr">
        <is>
          <t>old</t>
        </is>
      </c>
    </row>
    <row r="9">
      <c r="A9" s="3" t="inlineStr">
        <is>
          <t>TBD</t>
        </is>
      </c>
      <c r="B9" s="4" t="n">
        <v>72651.21000000001</v>
      </c>
      <c r="C9" s="3" t="inlineStr"/>
    </row>
    <row r="10">
      <c r="A10" s="3" t="inlineStr">
        <is>
          <t>杂项</t>
        </is>
      </c>
      <c r="B10" s="4" t="n">
        <v>72655.44</v>
      </c>
      <c r="C10" s="3" t="inlineStr"/>
    </row>
    <row r="11">
      <c r="A11" s="3" t="inlineStr">
        <is>
          <t>Misc</t>
        </is>
      </c>
      <c r="B11" s="4" t="n">
        <v>35149.22</v>
      </c>
      <c r="C11" s="3" t="inlineStr">
        <is>
          <t>check later</t>
        </is>
      </c>
    </row>
    <row r="12">
      <c r="A12" s="3" t="inlineStr">
        <is>
          <t>预留</t>
        </is>
      </c>
      <c r="B12" s="4" t="n">
        <v>47495.14</v>
      </c>
      <c r="C12" s="3" t="inlineStr"/>
    </row>
    <row r="13">
      <c r="A13" s="3" t="inlineStr">
        <is>
          <t>预留</t>
        </is>
      </c>
      <c r="B13" s="4" t="n">
        <v>37685.7</v>
      </c>
      <c r="C13" s="3" t="inlineStr"/>
    </row>
    <row r="14">
      <c r="A14" s="3" t="inlineStr">
        <is>
          <t>TBD</t>
        </is>
      </c>
      <c r="B14" s="4" t="n">
        <v>23615.4</v>
      </c>
      <c r="C14" s="3" t="inlineStr">
        <is>
          <t>废弃</t>
        </is>
      </c>
    </row>
    <row r="15">
      <c r="A15" s="3" t="inlineStr">
        <is>
          <t>Misc</t>
        </is>
      </c>
      <c r="B15" s="4" t="n">
        <v>22678.28</v>
      </c>
      <c r="C15" s="3" t="inlineStr">
        <is>
          <t>old</t>
        </is>
      </c>
    </row>
    <row r="16">
      <c r="A16" s="3" t="inlineStr">
        <is>
          <t>Misc</t>
        </is>
      </c>
      <c r="B16" s="4" t="n">
        <v>84753.17</v>
      </c>
      <c r="C16" s="3" t="inlineStr">
        <is>
          <t>old</t>
        </is>
      </c>
    </row>
    <row r="17">
      <c r="A17" s="3" t="inlineStr">
        <is>
          <t>杂项</t>
        </is>
      </c>
      <c r="B17" s="4" t="n">
        <v>21002.5</v>
      </c>
      <c r="C17" s="3" t="inlineStr">
        <is>
          <t>废弃</t>
        </is>
      </c>
    </row>
    <row r="18">
      <c r="A18" s="3" t="inlineStr">
        <is>
          <t>TBD</t>
        </is>
      </c>
      <c r="B18" s="4" t="n">
        <v>71244.50999999999</v>
      </c>
      <c r="C18" s="3" t="inlineStr"/>
    </row>
    <row r="19">
      <c r="A19" s="3" t="inlineStr">
        <is>
          <t>TBD</t>
        </is>
      </c>
      <c r="B19" s="4" t="n">
        <v>19482.08</v>
      </c>
      <c r="C19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调整</t>
        </is>
      </c>
      <c r="B3" s="4" t="n">
        <v>46047.01</v>
      </c>
      <c r="C3" s="3" t="inlineStr">
        <is>
          <t>废弃</t>
        </is>
      </c>
    </row>
    <row r="4">
      <c r="A4" s="3" t="inlineStr">
        <is>
          <t>Misc</t>
        </is>
      </c>
      <c r="B4" s="4" t="n">
        <v>51225.21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28645.13</v>
      </c>
      <c r="C5" s="3" t="inlineStr">
        <is>
          <t>old</t>
        </is>
      </c>
    </row>
    <row r="6">
      <c r="A6" s="3" t="inlineStr">
        <is>
          <t>预留</t>
        </is>
      </c>
      <c r="B6" s="4" t="n">
        <v>9907.34</v>
      </c>
      <c r="C6" s="3" t="inlineStr">
        <is>
          <t>废弃</t>
        </is>
      </c>
    </row>
    <row r="7">
      <c r="A7" s="3" t="inlineStr">
        <is>
          <t>Misc</t>
        </is>
      </c>
      <c r="B7" s="4" t="n">
        <v>35221.2</v>
      </c>
      <c r="C7" s="3" t="inlineStr"/>
    </row>
    <row r="8">
      <c r="A8" s="3" t="inlineStr">
        <is>
          <t>调整</t>
        </is>
      </c>
      <c r="B8" s="4" t="n">
        <v>74108.89</v>
      </c>
      <c r="C8" s="3" t="inlineStr">
        <is>
          <t>old</t>
        </is>
      </c>
    </row>
    <row r="9">
      <c r="A9" s="3" t="inlineStr">
        <is>
          <t>调整</t>
        </is>
      </c>
      <c r="B9" s="4" t="n">
        <v>59852.11</v>
      </c>
      <c r="C9" s="3" t="inlineStr"/>
    </row>
    <row r="10">
      <c r="A10" s="3" t="inlineStr">
        <is>
          <t>TBD</t>
        </is>
      </c>
      <c r="B10" s="4" t="n">
        <v>63289.58</v>
      </c>
      <c r="C10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2026-07-23T23:31:04Z</dcterms:created>
  <dcterms:modified xsi:type="dcterms:W3CDTF">2026-07-24T04:00:46Z</dcterms:modified>
</cp:coreProperties>
</file>