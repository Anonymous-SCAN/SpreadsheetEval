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Archive_2019" sheetId="11" state="visible" r:id="rId11"/>
    <sheet name="Scr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21102.02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0.3633</v>
      </c>
      <c r="C4" s="3" t="inlineStr"/>
    </row>
    <row r="5">
      <c r="A5" s="3" t="inlineStr">
        <is>
          <t>费用率 Opex %</t>
        </is>
      </c>
      <c r="B5" s="5" t="n">
        <v>0.2139</v>
      </c>
      <c r="C5" s="3" t="inlineStr"/>
    </row>
    <row r="6">
      <c r="A6" s="3" t="inlineStr">
        <is>
          <t>所得税率 Tax rate</t>
        </is>
      </c>
      <c r="B6" s="5" t="n">
        <v>0.1802</v>
      </c>
      <c r="C6" s="3" t="inlineStr"/>
    </row>
    <row r="7">
      <c r="A7" s="3" t="inlineStr">
        <is>
          <t>资本开支率 Capex %</t>
        </is>
      </c>
      <c r="B7" s="5" t="n">
        <v>0.08459999999999999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68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55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0.0563</v>
      </c>
      <c r="C12" s="3" t="inlineStr"/>
    </row>
    <row r="13">
      <c r="A13" s="3" t="inlineStr">
        <is>
          <t>WACC</t>
        </is>
      </c>
      <c r="B13" s="5" t="n">
        <v>0.0964</v>
      </c>
      <c r="C13" s="3" t="inlineStr"/>
    </row>
    <row r="14">
      <c r="A14" s="3" t="inlineStr">
        <is>
          <t>永续增长 Terminal growth</t>
        </is>
      </c>
      <c r="B14" s="5" t="n">
        <v>0.027</v>
      </c>
      <c r="C14" s="3" t="inlineStr"/>
    </row>
    <row r="15">
      <c r="A15" s="3" t="inlineStr">
        <is>
          <t>股本 Shares</t>
        </is>
      </c>
      <c r="B15" s="6" t="n">
        <v>1101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5134.07</v>
      </c>
      <c r="C16" s="3" t="inlineStr"/>
    </row>
    <row r="17">
      <c r="A17" s="3" t="inlineStr">
        <is>
          <t>期初固定资产原值</t>
        </is>
      </c>
      <c r="B17" s="4" t="n">
        <v>16539.7</v>
      </c>
      <c r="C17" s="3" t="inlineStr"/>
    </row>
    <row r="18">
      <c r="A18" s="3" t="inlineStr">
        <is>
          <t>期初累计折旧</t>
        </is>
      </c>
      <c r="B18" s="4" t="n">
        <v>2340.8</v>
      </c>
      <c r="C18" s="3" t="inlineStr"/>
    </row>
    <row r="19">
      <c r="A19" s="3" t="inlineStr">
        <is>
          <t>期初有息负债</t>
        </is>
      </c>
      <c r="B19" s="4" t="n">
        <v>10865.33</v>
      </c>
      <c r="C19" s="3" t="inlineStr"/>
    </row>
    <row r="20">
      <c r="A20" s="3" t="inlineStr">
        <is>
          <t>残值率 Salvage %</t>
        </is>
      </c>
      <c r="B20" s="5" t="n">
        <v>0.0625</v>
      </c>
      <c r="C20" s="3" t="inlineStr"/>
    </row>
    <row r="21">
      <c r="A21" s="3" t="inlineStr">
        <is>
          <t>毛利率年提升 GM ramp/yr</t>
        </is>
      </c>
      <c r="B21" s="5" t="n">
        <v>0.0125</v>
      </c>
      <c r="C21" s="3" t="inlineStr"/>
    </row>
    <row r="22">
      <c r="A22" s="3" t="inlineStr">
        <is>
          <t>固定费用 Fixed opex</t>
        </is>
      </c>
      <c r="B22" s="4" t="n">
        <v>941.29</v>
      </c>
      <c r="C22" s="3" t="inlineStr"/>
    </row>
    <row r="23">
      <c r="A23" s="3" t="inlineStr">
        <is>
          <t>收入增速 2025 Growth</t>
        </is>
      </c>
      <c r="B23" s="5" t="n">
        <v>0.1656</v>
      </c>
    </row>
    <row r="24">
      <c r="A24" s="3" t="inlineStr">
        <is>
          <t>收入增速 2026 Growth</t>
        </is>
      </c>
      <c r="B24" s="5" t="n">
        <v>0.2756</v>
      </c>
    </row>
    <row r="25">
      <c r="A25" s="3" t="inlineStr">
        <is>
          <t>收入增速 2027 Growth</t>
        </is>
      </c>
      <c r="B25" s="5" t="n">
        <v>0.3429</v>
      </c>
    </row>
    <row r="26">
      <c r="A26" s="3" t="inlineStr">
        <is>
          <t>收入增速 2028 Growth</t>
        </is>
      </c>
      <c r="B26" s="5" t="n">
        <v>0.2184</v>
      </c>
    </row>
    <row r="27">
      <c r="A27" s="3" t="inlineStr">
        <is>
          <t>收入增速 2029 Growth</t>
        </is>
      </c>
      <c r="B27" s="5" t="n">
        <v>0.3157</v>
      </c>
    </row>
    <row r="28">
      <c r="A28" s="3" t="inlineStr">
        <is>
          <t>还本 2025 Debt repayment</t>
        </is>
      </c>
      <c r="B28" s="4" t="n">
        <v>743.08</v>
      </c>
    </row>
    <row r="29">
      <c r="A29" s="3" t="inlineStr">
        <is>
          <t>还本 2026 Debt repayment</t>
        </is>
      </c>
      <c r="B29" s="4" t="n">
        <v>1171.16</v>
      </c>
    </row>
    <row r="30">
      <c r="A30" s="3" t="inlineStr">
        <is>
          <t>还本 2027 Debt repayment</t>
        </is>
      </c>
      <c r="B30" s="4" t="n">
        <v>1137.06</v>
      </c>
    </row>
    <row r="31">
      <c r="A31" s="3" t="inlineStr">
        <is>
          <t>还本 2028 Debt repayment</t>
        </is>
      </c>
      <c r="B31" s="4" t="n">
        <v>459.51</v>
      </c>
    </row>
    <row r="32">
      <c r="A32" s="3" t="inlineStr">
        <is>
          <t>还本 2029 Debt repayment</t>
        </is>
      </c>
      <c r="B32" s="4" t="n">
        <v>864.0700000000001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21102.02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  <c r="G4">
        <f>MAX(Revenue!G3*Assumptions!B5,F6)</f>
        <v/>
      </c>
    </row>
    <row r="5">
      <c r="A5" s="7" t="inlineStr">
        <is>
          <t>期末原值 Gross end</t>
        </is>
      </c>
      <c r="B5" s="4" t="n">
        <v>16539.7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2340.8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B5+B7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  <c r="G6">
        <f>G3*Assumptions!B7+Assumptions!B22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10865.33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3931.34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1546.02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2024.55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B3+B4+B5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C6+B6</f>
        <v/>
      </c>
      <c r="D7">
        <f>D6+C6</f>
        <v/>
      </c>
      <c r="E7">
        <f>E6+D6</f>
        <v/>
      </c>
      <c r="F7">
        <f>F6+E6</f>
        <v/>
      </c>
      <c r="G7">
        <f>G6+F6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5134.07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5134.07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3931.34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1546.02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14198.9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2024.55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10865.33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11920.45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G8*(1+Assumptions!B14)/(Assumptions!B13-Assumptions!B14)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88520.45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18077.03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78021.16</v>
      </c>
      <c r="C5" s="3" t="inlineStr">
        <is>
          <t>old</t>
        </is>
      </c>
    </row>
    <row r="6">
      <c r="A6" s="3" t="inlineStr">
        <is>
          <t>调整</t>
        </is>
      </c>
      <c r="B6" s="4" t="n">
        <v>69440.64999999999</v>
      </c>
      <c r="C6" s="3" t="inlineStr">
        <is>
          <t>old</t>
        </is>
      </c>
    </row>
    <row r="7">
      <c r="A7" s="3" t="inlineStr">
        <is>
          <t>Misc</t>
        </is>
      </c>
      <c r="B7" s="4" t="n">
        <v>35846.29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37433.5</v>
      </c>
      <c r="C8" s="3" t="inlineStr">
        <is>
          <t>old</t>
        </is>
      </c>
    </row>
    <row r="9">
      <c r="A9" s="3" t="inlineStr">
        <is>
          <t>TBD</t>
        </is>
      </c>
      <c r="B9" s="4" t="n">
        <v>79181.85000000001</v>
      </c>
      <c r="C9" s="3" t="inlineStr">
        <is>
          <t>check later</t>
        </is>
      </c>
    </row>
    <row r="10">
      <c r="A10" s="3" t="inlineStr">
        <is>
          <t>杂项</t>
        </is>
      </c>
      <c r="B10" s="4" t="n">
        <v>87615.58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8200.870000000001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88187.78</v>
      </c>
      <c r="C12" s="3" t="inlineStr"/>
    </row>
    <row r="13">
      <c r="A13" s="3" t="inlineStr">
        <is>
          <t>调整</t>
        </is>
      </c>
      <c r="B13" s="4" t="n">
        <v>82761.22</v>
      </c>
      <c r="C13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86291.98</v>
      </c>
      <c r="C3" s="3" t="inlineStr">
        <is>
          <t>check later</t>
        </is>
      </c>
    </row>
    <row r="4">
      <c r="A4" s="3" t="inlineStr">
        <is>
          <t>预留</t>
        </is>
      </c>
      <c r="B4" s="4" t="n">
        <v>50804.19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40134.3</v>
      </c>
      <c r="C5" s="3" t="inlineStr"/>
    </row>
    <row r="6">
      <c r="A6" s="3" t="inlineStr">
        <is>
          <t>预留</t>
        </is>
      </c>
      <c r="B6" s="4" t="n">
        <v>31879.48</v>
      </c>
      <c r="C6" s="3" t="inlineStr">
        <is>
          <t>废弃</t>
        </is>
      </c>
    </row>
    <row r="7">
      <c r="A7" s="3" t="inlineStr">
        <is>
          <t>Misc</t>
        </is>
      </c>
      <c r="B7" s="4" t="n">
        <v>67521.58</v>
      </c>
      <c r="C7" s="3" t="inlineStr">
        <is>
          <t>old</t>
        </is>
      </c>
    </row>
    <row r="8">
      <c r="A8" s="3" t="inlineStr">
        <is>
          <t>杂项</t>
        </is>
      </c>
      <c r="B8" s="4" t="n">
        <v>45487.49</v>
      </c>
      <c r="C8" s="3" t="inlineStr">
        <is>
          <t>old</t>
        </is>
      </c>
    </row>
    <row r="9">
      <c r="A9" s="3" t="inlineStr">
        <is>
          <t>TBD</t>
        </is>
      </c>
      <c r="B9" s="4" t="n">
        <v>72651.21000000001</v>
      </c>
      <c r="C9" s="3" t="inlineStr"/>
    </row>
    <row r="10">
      <c r="A10" s="3" t="inlineStr">
        <is>
          <t>杂项</t>
        </is>
      </c>
      <c r="B10" s="4" t="n">
        <v>72655.44</v>
      </c>
      <c r="C10" s="3" t="inlineStr"/>
    </row>
    <row r="11">
      <c r="A11" s="3" t="inlineStr">
        <is>
          <t>Misc</t>
        </is>
      </c>
      <c r="B11" s="4" t="n">
        <v>35149.22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47495.14</v>
      </c>
      <c r="C12" s="3" t="inlineStr"/>
    </row>
    <row r="13">
      <c r="A13" s="3" t="inlineStr">
        <is>
          <t>预留</t>
        </is>
      </c>
      <c r="B13" s="4" t="n">
        <v>37685.7</v>
      </c>
      <c r="C13" s="3" t="inlineStr"/>
    </row>
    <row r="14">
      <c r="A14" s="3" t="inlineStr">
        <is>
          <t>TBD</t>
        </is>
      </c>
      <c r="B14" s="4" t="n">
        <v>23615.4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22678.28</v>
      </c>
      <c r="C15" s="3" t="inlineStr">
        <is>
          <t>old</t>
        </is>
      </c>
    </row>
    <row r="16">
      <c r="A16" s="3" t="inlineStr">
        <is>
          <t>Misc</t>
        </is>
      </c>
      <c r="B16" s="4" t="n">
        <v>84753.17</v>
      </c>
      <c r="C16" s="3" t="inlineStr">
        <is>
          <t>old</t>
        </is>
      </c>
    </row>
    <row r="17">
      <c r="A17" s="3" t="inlineStr">
        <is>
          <t>杂项</t>
        </is>
      </c>
      <c r="B17" s="4" t="n">
        <v>21002.5</v>
      </c>
      <c r="C17" s="3" t="inlineStr">
        <is>
          <t>废弃</t>
        </is>
      </c>
    </row>
    <row r="18">
      <c r="A18" s="3" t="inlineStr">
        <is>
          <t>TBD</t>
        </is>
      </c>
      <c r="B18" s="4" t="n">
        <v>71244.50999999999</v>
      </c>
      <c r="C18" s="3" t="inlineStr"/>
    </row>
    <row r="19">
      <c r="A19" s="3" t="inlineStr">
        <is>
          <t>TBD</t>
        </is>
      </c>
      <c r="B19" s="4" t="n">
        <v>19482.08</v>
      </c>
      <c r="C19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46047.01</v>
      </c>
      <c r="C3" s="3" t="inlineStr">
        <is>
          <t>废弃</t>
        </is>
      </c>
    </row>
    <row r="4">
      <c r="A4" s="3" t="inlineStr">
        <is>
          <t>Misc</t>
        </is>
      </c>
      <c r="B4" s="4" t="n">
        <v>51225.21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28645.13</v>
      </c>
      <c r="C5" s="3" t="inlineStr">
        <is>
          <t>old</t>
        </is>
      </c>
    </row>
    <row r="6">
      <c r="A6" s="3" t="inlineStr">
        <is>
          <t>预留</t>
        </is>
      </c>
      <c r="B6" s="4" t="n">
        <v>9907.34</v>
      </c>
      <c r="C6" s="3" t="inlineStr">
        <is>
          <t>废弃</t>
        </is>
      </c>
    </row>
    <row r="7">
      <c r="A7" s="3" t="inlineStr">
        <is>
          <t>Misc</t>
        </is>
      </c>
      <c r="B7" s="4" t="n">
        <v>35221.2</v>
      </c>
      <c r="C7" s="3" t="inlineStr"/>
    </row>
    <row r="8">
      <c r="A8" s="3" t="inlineStr">
        <is>
          <t>调整</t>
        </is>
      </c>
      <c r="B8" s="4" t="n">
        <v>74108.89</v>
      </c>
      <c r="C8" s="3" t="inlineStr">
        <is>
          <t>old</t>
        </is>
      </c>
    </row>
    <row r="9">
      <c r="A9" s="3" t="inlineStr">
        <is>
          <t>调整</t>
        </is>
      </c>
      <c r="B9" s="4" t="n">
        <v>59852.11</v>
      </c>
      <c r="C9" s="3" t="inlineStr"/>
    </row>
    <row r="10">
      <c r="A10" s="3" t="inlineStr">
        <is>
          <t>TBD</t>
        </is>
      </c>
      <c r="B10" s="4" t="n">
        <v>63289.58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2026-07-23T23:31:04Z</dcterms:created>
  <dcterms:modified xsi:type="dcterms:W3CDTF">2026-07-23T23:31:05Z</dcterms:modified>
</cp:coreProperties>
</file>