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Scratch" sheetId="10" state="visible" r:id="rId10"/>
    <sheet name="OldForecast_v1" sheetId="11" state="visible" r:id="rId11"/>
    <sheet name="Notes_DoNotUs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21451.02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0.5797</v>
      </c>
      <c r="C4" s="3" t="inlineStr"/>
    </row>
    <row r="5">
      <c r="A5" s="3" t="inlineStr">
        <is>
          <t>费用率 Opex %</t>
        </is>
      </c>
      <c r="B5" s="5" t="n">
        <v>0.1779</v>
      </c>
      <c r="C5" s="3" t="inlineStr"/>
    </row>
    <row r="6">
      <c r="A6" s="3" t="inlineStr">
        <is>
          <t>所得税率 Tax rate</t>
        </is>
      </c>
      <c r="B6" s="5" t="n">
        <v>0.2223</v>
      </c>
      <c r="C6" s="3" t="inlineStr"/>
    </row>
    <row r="7">
      <c r="A7" s="3" t="inlineStr">
        <is>
          <t>资本开支率 Capex %</t>
        </is>
      </c>
      <c r="B7" s="5" t="n">
        <v>0.0891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89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66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0.0892</v>
      </c>
      <c r="C12" s="3" t="inlineStr"/>
    </row>
    <row r="13">
      <c r="A13" s="3" t="inlineStr">
        <is>
          <t>WACC</t>
        </is>
      </c>
      <c r="B13" s="5" t="n">
        <v>0.0931</v>
      </c>
      <c r="C13" s="3" t="inlineStr"/>
    </row>
    <row r="14">
      <c r="A14" s="3" t="inlineStr">
        <is>
          <t>永续增长 Terminal growth</t>
        </is>
      </c>
      <c r="B14" s="5" t="n">
        <v>0.0234</v>
      </c>
      <c r="C14" s="3" t="inlineStr"/>
    </row>
    <row r="15">
      <c r="A15" s="3" t="inlineStr">
        <is>
          <t>股本 Shares</t>
        </is>
      </c>
      <c r="B15" s="6" t="n">
        <v>2346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2082.57</v>
      </c>
      <c r="C16" s="3" t="inlineStr"/>
    </row>
    <row r="17">
      <c r="A17" s="3" t="inlineStr">
        <is>
          <t>期初固定资产原值</t>
        </is>
      </c>
      <c r="B17" s="4" t="n">
        <v>7504.73</v>
      </c>
      <c r="C17" s="3" t="inlineStr"/>
    </row>
    <row r="18">
      <c r="A18" s="3" t="inlineStr">
        <is>
          <t>期初累计折旧</t>
        </is>
      </c>
      <c r="B18" s="4" t="n">
        <v>2675.52</v>
      </c>
      <c r="C18" s="3" t="inlineStr"/>
    </row>
    <row r="19">
      <c r="A19" s="3" t="inlineStr">
        <is>
          <t>期初有息负债</t>
        </is>
      </c>
      <c r="B19" s="4" t="n">
        <v>11504.1</v>
      </c>
      <c r="C19" s="3" t="inlineStr"/>
    </row>
    <row r="20">
      <c r="A20" s="3" t="inlineStr">
        <is>
          <t>残值率 Salvage %</t>
        </is>
      </c>
      <c r="B20" s="5" t="n">
        <v>0.1262</v>
      </c>
      <c r="C20" s="3" t="inlineStr"/>
    </row>
    <row r="21">
      <c r="A21" s="3" t="inlineStr">
        <is>
          <t>毛利率年提升 GM ramp/yr</t>
        </is>
      </c>
      <c r="B21" s="5" t="n">
        <v>0.0162</v>
      </c>
      <c r="C21" s="3" t="inlineStr"/>
    </row>
    <row r="22">
      <c r="A22" s="3" t="inlineStr">
        <is>
          <t>固定费用 Fixed opex</t>
        </is>
      </c>
      <c r="B22" s="4" t="n">
        <v>1194.63</v>
      </c>
      <c r="C22" s="3" t="inlineStr"/>
    </row>
    <row r="23">
      <c r="A23" s="3" t="inlineStr">
        <is>
          <t>退出倍数 Exit EV/EBIT</t>
        </is>
      </c>
      <c r="B23" s="3" t="n">
        <v>9.369999999999999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0.2994</v>
      </c>
    </row>
    <row r="25">
      <c r="A25" s="3" t="inlineStr">
        <is>
          <t>收入增速 2026 Growth</t>
        </is>
      </c>
      <c r="B25" s="5" t="n">
        <v>0.195</v>
      </c>
    </row>
    <row r="26">
      <c r="A26" s="3" t="inlineStr">
        <is>
          <t>收入增速 2027 Growth</t>
        </is>
      </c>
      <c r="B26" s="5" t="n">
        <v>0.2809</v>
      </c>
    </row>
    <row r="27">
      <c r="A27" s="3" t="inlineStr">
        <is>
          <t>收入增速 2028 Growth</t>
        </is>
      </c>
      <c r="B27" s="5" t="n">
        <v>0.2769</v>
      </c>
    </row>
    <row r="28">
      <c r="A28" s="3" t="inlineStr">
        <is>
          <t>还本 2025 Debt repayment</t>
        </is>
      </c>
      <c r="B28" s="4" t="n">
        <v>888.9</v>
      </c>
    </row>
    <row r="29">
      <c r="A29" s="3" t="inlineStr">
        <is>
          <t>还本 2026 Debt repayment</t>
        </is>
      </c>
      <c r="B29" s="4" t="n">
        <v>733.99</v>
      </c>
    </row>
    <row r="30">
      <c r="A30" s="3" t="inlineStr">
        <is>
          <t>还本 2027 Debt repayment</t>
        </is>
      </c>
      <c r="B30" s="4" t="n">
        <v>944.8</v>
      </c>
    </row>
    <row r="31">
      <c r="A31" s="3" t="inlineStr">
        <is>
          <t>还本 2028 Debt repayment</t>
        </is>
      </c>
      <c r="B31" s="4" t="n">
        <v>1113.52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21451.02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</row>
    <row r="5">
      <c r="A5" s="7" t="inlineStr">
        <is>
          <t>期末原值 Gross end</t>
        </is>
      </c>
      <c r="B5" s="4" t="n">
        <v>7504.73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</row>
    <row r="7" hidden="1">
      <c r="A7" s="7" t="inlineStr">
        <is>
          <t>累计折旧 Accum. dep</t>
        </is>
      </c>
      <c r="B7" s="4" t="n">
        <v>2675.52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</row>
    <row r="9">
      <c r="A9" s="7" t="inlineStr">
        <is>
          <t>利息费用 Interest</t>
        </is>
      </c>
      <c r="C9">
        <f>DebtSchedule!C3*Assumptions!B12</f>
        <v/>
      </c>
      <c r="D9">
        <f>DebtSchedule!D3*Assumptions!B12</f>
        <v/>
      </c>
      <c r="E9">
        <f>DebtSchedule!E3*Assumptions!B12</f>
        <v/>
      </c>
      <c r="F9">
        <f>DebtSchedule!F3*Assumptions!B12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11504.1</v>
      </c>
      <c r="C5">
        <f>C3-C4</f>
        <v/>
      </c>
      <c r="D5">
        <f>D3-D4</f>
        <v/>
      </c>
      <c r="E5">
        <f>E3-E4</f>
        <v/>
      </c>
      <c r="F5">
        <f>F3-F4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2527.11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</row>
    <row r="4">
      <c r="A4" s="7" t="inlineStr">
        <is>
          <t>存货 Inventory</t>
        </is>
      </c>
      <c r="B4" s="4" t="n">
        <v>2198.39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</row>
    <row r="5">
      <c r="A5" s="7" t="inlineStr">
        <is>
          <t>应付账款 AP</t>
        </is>
      </c>
      <c r="B5" s="4" t="n">
        <v>1630.27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2082.57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2082.57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2527.11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2198.39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4829.209999999999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1630.27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11504.1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-1497.09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37591.39</v>
      </c>
      <c r="C3" s="3" t="inlineStr"/>
    </row>
    <row r="4">
      <c r="A4" s="3" t="inlineStr">
        <is>
          <t>Misc</t>
        </is>
      </c>
      <c r="B4" s="4" t="n">
        <v>79347.39</v>
      </c>
      <c r="C4" s="3" t="inlineStr">
        <is>
          <t>check later</t>
        </is>
      </c>
    </row>
    <row r="5">
      <c r="A5" s="3" t="inlineStr">
        <is>
          <t>杂项</t>
        </is>
      </c>
      <c r="B5" s="4" t="n">
        <v>18974.67</v>
      </c>
      <c r="C5" s="3" t="inlineStr">
        <is>
          <t>old</t>
        </is>
      </c>
    </row>
    <row r="6">
      <c r="A6" s="3" t="inlineStr">
        <is>
          <t>预留</t>
        </is>
      </c>
      <c r="B6" s="4" t="n">
        <v>46019.8</v>
      </c>
      <c r="C6" s="3" t="inlineStr">
        <is>
          <t>check later</t>
        </is>
      </c>
    </row>
    <row r="7">
      <c r="A7" s="3" t="inlineStr">
        <is>
          <t>TBD</t>
        </is>
      </c>
      <c r="B7" s="4" t="n">
        <v>56937.03</v>
      </c>
      <c r="C7" s="3" t="inlineStr"/>
    </row>
    <row r="8">
      <c r="A8" s="3" t="inlineStr">
        <is>
          <t>调整</t>
        </is>
      </c>
      <c r="B8" s="4" t="n">
        <v>31468.7</v>
      </c>
      <c r="C8" s="3" t="inlineStr">
        <is>
          <t>old</t>
        </is>
      </c>
    </row>
    <row r="9">
      <c r="A9" s="3" t="inlineStr">
        <is>
          <t>调整</t>
        </is>
      </c>
      <c r="B9" s="4" t="n">
        <v>53297.1</v>
      </c>
      <c r="C9" s="3" t="inlineStr">
        <is>
          <t>old</t>
        </is>
      </c>
    </row>
    <row r="10">
      <c r="A10" s="3" t="inlineStr">
        <is>
          <t>Misc</t>
        </is>
      </c>
      <c r="B10" s="4" t="n">
        <v>39625.99</v>
      </c>
      <c r="C10" s="3" t="inlineStr">
        <is>
          <t>check later</t>
        </is>
      </c>
    </row>
    <row r="11">
      <c r="A11" s="3" t="inlineStr">
        <is>
          <t>TBD</t>
        </is>
      </c>
      <c r="B11" s="4" t="n">
        <v>75031.85000000001</v>
      </c>
      <c r="C11" s="3" t="inlineStr"/>
    </row>
    <row r="12">
      <c r="A12" s="3" t="inlineStr">
        <is>
          <t>杂项</t>
        </is>
      </c>
      <c r="B12" s="4" t="n">
        <v>34165.75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85964.14999999999</v>
      </c>
      <c r="C13" s="3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41296.65</v>
      </c>
      <c r="C3" s="3" t="inlineStr"/>
    </row>
    <row r="4">
      <c r="A4" s="3" t="inlineStr">
        <is>
          <t>预留</t>
        </is>
      </c>
      <c r="B4" s="4" t="n">
        <v>66883.78999999999</v>
      </c>
      <c r="C4" s="3" t="inlineStr">
        <is>
          <t>废弃</t>
        </is>
      </c>
    </row>
    <row r="5">
      <c r="A5" s="3" t="inlineStr">
        <is>
          <t>TBD</t>
        </is>
      </c>
      <c r="B5" s="4" t="n">
        <v>78481.03999999999</v>
      </c>
      <c r="C5" s="3" t="inlineStr">
        <is>
          <t>check later</t>
        </is>
      </c>
    </row>
    <row r="6">
      <c r="A6" s="3" t="inlineStr">
        <is>
          <t>调整</t>
        </is>
      </c>
      <c r="B6" s="4" t="n">
        <v>71098.3</v>
      </c>
      <c r="C6" s="3" t="inlineStr">
        <is>
          <t>废弃</t>
        </is>
      </c>
    </row>
    <row r="7">
      <c r="A7" s="3" t="inlineStr">
        <is>
          <t>预留</t>
        </is>
      </c>
      <c r="B7" s="4" t="n">
        <v>87959.39999999999</v>
      </c>
      <c r="C7" s="3" t="inlineStr">
        <is>
          <t>old</t>
        </is>
      </c>
    </row>
    <row r="8">
      <c r="A8" s="3" t="inlineStr">
        <is>
          <t>Misc</t>
        </is>
      </c>
      <c r="B8" s="4" t="n">
        <v>73760.78999999999</v>
      </c>
      <c r="C8" s="3" t="inlineStr"/>
    </row>
    <row r="9">
      <c r="A9" s="3" t="inlineStr">
        <is>
          <t>预留</t>
        </is>
      </c>
      <c r="B9" s="4" t="n">
        <v>30860.48</v>
      </c>
      <c r="C9" s="3" t="inlineStr">
        <is>
          <t>check later</t>
        </is>
      </c>
    </row>
    <row r="10">
      <c r="A10" s="3" t="inlineStr">
        <is>
          <t>Misc</t>
        </is>
      </c>
      <c r="B10" s="4" t="n">
        <v>64248.84</v>
      </c>
      <c r="C10" s="3" t="inlineStr"/>
    </row>
    <row r="11">
      <c r="A11" s="3" t="inlineStr">
        <is>
          <t>调整</t>
        </is>
      </c>
      <c r="B11" s="4" t="n">
        <v>19280.04</v>
      </c>
      <c r="C11" s="3" t="inlineStr"/>
    </row>
    <row r="12">
      <c r="A12" s="3" t="inlineStr">
        <is>
          <t>Misc</t>
        </is>
      </c>
      <c r="B12" s="4" t="n">
        <v>54336.48</v>
      </c>
      <c r="C12" s="3" t="inlineStr">
        <is>
          <t>old</t>
        </is>
      </c>
    </row>
    <row r="13">
      <c r="A13" s="3" t="inlineStr">
        <is>
          <t>预留</t>
        </is>
      </c>
      <c r="B13" s="4" t="n">
        <v>36876.07</v>
      </c>
      <c r="C13" s="3" t="inlineStr">
        <is>
          <t>废弃</t>
        </is>
      </c>
    </row>
    <row r="14">
      <c r="A14" s="3" t="inlineStr">
        <is>
          <t>预留</t>
        </is>
      </c>
      <c r="B14" s="4" t="n">
        <v>38876.95</v>
      </c>
      <c r="C14" s="3" t="inlineStr">
        <is>
          <t>old</t>
        </is>
      </c>
    </row>
    <row r="15">
      <c r="A15" s="3" t="inlineStr">
        <is>
          <t>TBD</t>
        </is>
      </c>
      <c r="B15" s="4" t="n">
        <v>79681.16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4570.97</v>
      </c>
      <c r="C3" s="3" t="inlineStr"/>
    </row>
    <row r="4">
      <c r="A4" s="3" t="inlineStr">
        <is>
          <t>TBD</t>
        </is>
      </c>
      <c r="B4" s="4" t="n">
        <v>13812.29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27601.28</v>
      </c>
      <c r="C5" s="3" t="inlineStr">
        <is>
          <t>check later</t>
        </is>
      </c>
    </row>
    <row r="6">
      <c r="A6" s="3" t="inlineStr">
        <is>
          <t>预留</t>
        </is>
      </c>
      <c r="B6" s="4" t="n">
        <v>71824.96000000001</v>
      </c>
      <c r="C6" s="3" t="inlineStr"/>
    </row>
    <row r="7">
      <c r="A7" s="3" t="inlineStr">
        <is>
          <t>TBD</t>
        </is>
      </c>
      <c r="B7" s="4" t="n">
        <v>9265.5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25875.58</v>
      </c>
      <c r="C8" s="3" t="inlineStr">
        <is>
          <t>check later</t>
        </is>
      </c>
    </row>
    <row r="9">
      <c r="A9" s="3" t="inlineStr">
        <is>
          <t>Misc</t>
        </is>
      </c>
      <c r="B9" s="4" t="n">
        <v>15983.03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70067.59</v>
      </c>
      <c r="C10" s="3" t="inlineStr"/>
    </row>
    <row r="11">
      <c r="A11" s="3" t="inlineStr">
        <is>
          <t>Misc</t>
        </is>
      </c>
      <c r="B11" s="4" t="n">
        <v>34521.56</v>
      </c>
      <c r="C11" s="3" t="inlineStr"/>
    </row>
    <row r="12">
      <c r="A12" s="3" t="inlineStr">
        <is>
          <t>预留</t>
        </is>
      </c>
      <c r="B12" s="4" t="n">
        <v>83473.28999999999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2026-07-23T23:30:16Z</dcterms:created>
  <dcterms:modified xsi:type="dcterms:W3CDTF">2026-07-23T23:30:17Z</dcterms:modified>
</cp:coreProperties>
</file>