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旧版测算_废弃" sheetId="10" state="visible" r:id="rId10"/>
    <sheet name="OldForecast_v1" sheetId="11" state="visible" r:id="rId11"/>
    <sheet name="OldForecast_v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SaaS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31420.97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0.4117</v>
      </c>
      <c r="C4" s="3" t="inlineStr"/>
    </row>
    <row r="5">
      <c r="A5" s="3" t="inlineStr">
        <is>
          <t>费用率 Opex %</t>
        </is>
      </c>
      <c r="B5" s="5" t="n">
        <v>0.2654</v>
      </c>
      <c r="C5" s="3" t="inlineStr"/>
    </row>
    <row r="6">
      <c r="A6" s="3" t="inlineStr">
        <is>
          <t>所得税率 Tax rate</t>
        </is>
      </c>
      <c r="B6" s="5" t="n">
        <v>0.1677</v>
      </c>
      <c r="C6" s="3" t="inlineStr"/>
    </row>
    <row r="7">
      <c r="A7" s="3" t="inlineStr">
        <is>
          <t>资本开支率 Capex %</t>
        </is>
      </c>
      <c r="B7" s="5" t="n">
        <v>0.0959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58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71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33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0.08309999999999999</v>
      </c>
      <c r="C12" s="3" t="inlineStr"/>
    </row>
    <row r="13">
      <c r="A13" s="3" t="inlineStr">
        <is>
          <t>WACC</t>
        </is>
      </c>
      <c r="B13" s="5" t="n">
        <v>0.1191</v>
      </c>
      <c r="C13" s="3" t="inlineStr"/>
    </row>
    <row r="14">
      <c r="A14" s="3" t="inlineStr">
        <is>
          <t>永续增长 Terminal growth</t>
        </is>
      </c>
      <c r="B14" s="5" t="n">
        <v>0.0259</v>
      </c>
      <c r="C14" s="3" t="inlineStr"/>
    </row>
    <row r="15">
      <c r="A15" s="3" t="inlineStr">
        <is>
          <t>股本 Shares</t>
        </is>
      </c>
      <c r="B15" s="6" t="n">
        <v>3440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7683.3</v>
      </c>
      <c r="C16" s="3" t="inlineStr"/>
    </row>
    <row r="17">
      <c r="A17" s="3" t="inlineStr">
        <is>
          <t>期初固定资产原值</t>
        </is>
      </c>
      <c r="B17" s="4" t="n">
        <v>8401.82</v>
      </c>
      <c r="C17" s="3" t="inlineStr"/>
    </row>
    <row r="18">
      <c r="A18" s="3" t="inlineStr">
        <is>
          <t>期初累计折旧</t>
        </is>
      </c>
      <c r="B18" s="4" t="n">
        <v>1897.34</v>
      </c>
      <c r="C18" s="3" t="inlineStr"/>
    </row>
    <row r="19">
      <c r="A19" s="3" t="inlineStr">
        <is>
          <t>期初有息负债</t>
        </is>
      </c>
      <c r="B19" s="4" t="n">
        <v>3366.49</v>
      </c>
      <c r="C19" s="3" t="inlineStr"/>
    </row>
    <row r="20">
      <c r="A20" s="3" t="inlineStr">
        <is>
          <t>残值率 Salvage %</t>
        </is>
      </c>
      <c r="B20" s="5" t="n">
        <v>0.08500000000000001</v>
      </c>
      <c r="C20" s="3" t="inlineStr"/>
    </row>
    <row r="21">
      <c r="A21" s="3" t="inlineStr">
        <is>
          <t>毛利率年提升 GM ramp/yr</t>
        </is>
      </c>
      <c r="B21" s="5" t="n">
        <v>0.0298</v>
      </c>
      <c r="C21" s="3" t="inlineStr"/>
    </row>
    <row r="22">
      <c r="A22" s="3" t="inlineStr">
        <is>
          <t>退出倍数 Exit EV/EBIT</t>
        </is>
      </c>
      <c r="B22" s="3" t="n">
        <v>7.2</v>
      </c>
      <c r="C22" s="3" t="inlineStr">
        <is>
          <t>x</t>
        </is>
      </c>
    </row>
    <row r="23">
      <c r="A23" s="3" t="inlineStr">
        <is>
          <t>收入增速 2024 Growth</t>
        </is>
      </c>
      <c r="B23" s="5" t="n">
        <v>0.1724</v>
      </c>
    </row>
    <row r="24">
      <c r="A24" s="3" t="inlineStr">
        <is>
          <t>收入增速 2025 Growth</t>
        </is>
      </c>
      <c r="B24" s="5" t="n">
        <v>0.196</v>
      </c>
    </row>
    <row r="25">
      <c r="A25" s="3" t="inlineStr">
        <is>
          <t>收入增速 2026 Growth</t>
        </is>
      </c>
      <c r="B25" s="5" t="n">
        <v>0.2842</v>
      </c>
    </row>
    <row r="26">
      <c r="A26" s="3" t="inlineStr">
        <is>
          <t>收入增速 2027 Growth</t>
        </is>
      </c>
      <c r="B26" s="5" t="n">
        <v>0.3055</v>
      </c>
    </row>
    <row r="27">
      <c r="A27" s="3" t="inlineStr">
        <is>
          <t>收入增速 2028 Growth</t>
        </is>
      </c>
      <c r="B27" s="5" t="n">
        <v>0.1238</v>
      </c>
    </row>
    <row r="28">
      <c r="A28" s="3" t="inlineStr">
        <is>
          <t>还本 2024 Debt repayment</t>
        </is>
      </c>
      <c r="B28" s="4" t="n">
        <v>700.86</v>
      </c>
    </row>
    <row r="29">
      <c r="A29" s="3" t="inlineStr">
        <is>
          <t>还本 2025 Debt repayment</t>
        </is>
      </c>
      <c r="B29" s="4" t="n">
        <v>519.47</v>
      </c>
    </row>
    <row r="30">
      <c r="A30" s="3" t="inlineStr">
        <is>
          <t>还本 2026 Debt repayment</t>
        </is>
      </c>
      <c r="B30" s="4" t="n">
        <v>1165.31</v>
      </c>
    </row>
    <row r="31">
      <c r="A31" s="3" t="inlineStr">
        <is>
          <t>还本 2027 Debt repayment</t>
        </is>
      </c>
      <c r="B31" s="4" t="n">
        <v>1075.58</v>
      </c>
    </row>
    <row r="32">
      <c r="A32" s="3" t="inlineStr">
        <is>
          <t>还本 2028 Debt repayment</t>
        </is>
      </c>
      <c r="B32" s="4" t="n">
        <v>335.16</v>
      </c>
    </row>
    <row r="34">
      <c r="A34" s="7" t="inlineStr">
        <is>
          <t>★ 会计口径约定 House conventions（务必遵循）</t>
        </is>
      </c>
    </row>
    <row r="35">
      <c r="A35" t="inlineStr">
        <is>
          <t>• 折旧按【期初原值】计提（非期末）：Depreciation = 期初原值 / 折旧年限。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毛利率逐年提升：第 t 年毛利率 = 基准毛利率 + GM ramp ×(t−1)。</t>
        </is>
      </c>
    </row>
    <row r="40">
      <c r="A40" t="inlineStr">
        <is>
          <t>• 终值采用【退出倍数法】：TV = 末期EBIT × 退出倍数（非永续增长法）。</t>
        </is>
      </c>
    </row>
    <row r="41">
      <c r="A41" t="inlineStr">
        <is>
          <t>• DCF 采用【期中折现】：折现因子 = 1/(1+WACC)^(t−0.5)。</t>
        </is>
      </c>
    </row>
    <row r="42">
      <c r="A42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5:F35"/>
    <mergeCell ref="A39:F39"/>
  </mergeCells>
  <dataValidations count="1">
    <dataValidation sqref="B3:B32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31420.97</v>
      </c>
      <c r="C3">
        <f>B3*(1+Assumptions!B23)</f>
        <v/>
      </c>
      <c r="D3">
        <f>C3*(1+Assumptions!B24)</f>
        <v/>
      </c>
      <c r="E3">
        <f>D3*(1+Assumptions!B25)</f>
        <v/>
      </c>
      <c r="F3">
        <f>E3*(1+Assumptions!B26)</f>
        <v/>
      </c>
      <c r="G3">
        <f>F3*(1+Assumptions!B27)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8401.82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1897.34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</f>
        <v/>
      </c>
      <c r="D6">
        <f>D3*Assumptions!B5</f>
        <v/>
      </c>
      <c r="E6">
        <f>E3*Assumptions!B5</f>
        <v/>
      </c>
      <c r="F6">
        <f>F3*Assumptions!B5</f>
        <v/>
      </c>
      <c r="G6">
        <f>G3*Assumptions!B5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  <c r="G4">
        <f>Assumptions!B32</f>
        <v/>
      </c>
    </row>
    <row r="5">
      <c r="A5" s="7" t="inlineStr">
        <is>
          <t>期末负债 Debt end</t>
        </is>
      </c>
      <c r="B5" s="4" t="n">
        <v>3366.49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4992.92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3595.7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1671.24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</row>
    <row r="4">
      <c r="A4" s="7" t="inlineStr">
        <is>
          <t>加:折旧摊销 +D&amp;A</t>
        </is>
      </c>
    </row>
    <row r="5">
      <c r="A5" s="7" t="inlineStr">
        <is>
          <t>减:ΔNWC -ΔNWC</t>
        </is>
      </c>
    </row>
    <row r="6">
      <c r="A6" s="7" t="inlineStr">
        <is>
          <t>经营活动现金流 CFO</t>
        </is>
      </c>
    </row>
    <row r="7">
      <c r="A7" s="7" t="inlineStr">
        <is>
          <t>资本开支 Capex</t>
        </is>
      </c>
    </row>
    <row r="8">
      <c r="A8" s="7" t="inlineStr">
        <is>
          <t>投资活动现金流 CFI</t>
        </is>
      </c>
    </row>
    <row r="9">
      <c r="A9" s="7" t="inlineStr">
        <is>
          <t>偿还债务 Debt repay</t>
        </is>
      </c>
    </row>
    <row r="10">
      <c r="A10" s="7" t="inlineStr">
        <is>
          <t>筹资活动现金流 CFF</t>
        </is>
      </c>
    </row>
    <row r="11">
      <c r="A11" s="7" t="inlineStr">
        <is>
          <t>现金净变动 Net Δcash</t>
        </is>
      </c>
    </row>
    <row r="12">
      <c r="A12" s="7" t="inlineStr">
        <is>
          <t>期初现金 Cash begin</t>
        </is>
      </c>
    </row>
    <row r="13">
      <c r="A13" s="7" t="inlineStr">
        <is>
          <t>期末现金 Cash end</t>
        </is>
      </c>
      <c r="B13" s="4" t="n">
        <v>7683.3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7683.3</v>
      </c>
    </row>
    <row r="4">
      <c r="A4" s="7" t="inlineStr">
        <is>
          <t>应收 AR</t>
        </is>
      </c>
      <c r="B4" s="4" t="n">
        <v>4992.92</v>
      </c>
    </row>
    <row r="5">
      <c r="A5" s="7" t="inlineStr">
        <is>
          <t>存货 Inventory</t>
        </is>
      </c>
      <c r="B5" s="4" t="n">
        <v>3595.7</v>
      </c>
    </row>
    <row r="6">
      <c r="A6" s="7" t="inlineStr">
        <is>
          <t>净固定资产 Net PP&amp;E</t>
        </is>
      </c>
      <c r="B6" s="4" t="n">
        <v>6504.48</v>
      </c>
    </row>
    <row r="7">
      <c r="A7" s="7" t="inlineStr">
        <is>
          <t>资产合计 Total assets</t>
        </is>
      </c>
    </row>
    <row r="8">
      <c r="A8" s="7" t="inlineStr">
        <is>
          <t>应付 AP</t>
        </is>
      </c>
      <c r="B8" s="4" t="n">
        <v>1671.24</v>
      </c>
    </row>
    <row r="9">
      <c r="A9" s="7" t="inlineStr">
        <is>
          <t>有息负债 Debt</t>
        </is>
      </c>
      <c r="B9" s="4" t="n">
        <v>3366.49</v>
      </c>
    </row>
    <row r="10">
      <c r="A10" s="7" t="inlineStr">
        <is>
          <t>负债合计 Total liab</t>
        </is>
      </c>
    </row>
    <row r="11">
      <c r="A11" s="7" t="inlineStr">
        <is>
          <t>所有者权益 Equity</t>
        </is>
      </c>
      <c r="B11" s="4" t="n">
        <v>17738.67</v>
      </c>
    </row>
    <row r="12">
      <c r="A12" s="7" t="inlineStr">
        <is>
          <t>负债+权益 Total L&amp;E</t>
        </is>
      </c>
    </row>
    <row r="13">
      <c r="A13" s="7" t="inlineStr">
        <is>
          <t>平衡校验 Check(=0)</t>
        </is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</row>
    <row r="4">
      <c r="A4" s="7" t="inlineStr">
        <is>
          <t>NOPAT=EBIT×(1-tax)</t>
        </is>
      </c>
    </row>
    <row r="5">
      <c r="A5" s="7" t="inlineStr">
        <is>
          <t>加:D&amp;A</t>
        </is>
      </c>
    </row>
    <row r="6">
      <c r="A6" s="7" t="inlineStr">
        <is>
          <t>减:Capex</t>
        </is>
      </c>
    </row>
    <row r="7">
      <c r="A7" s="7" t="inlineStr">
        <is>
          <t>减:ΔNWC</t>
        </is>
      </c>
    </row>
    <row r="8">
      <c r="A8" s="7" t="inlineStr">
        <is>
          <t>无杠杆自由现金流 FCFF</t>
        </is>
      </c>
    </row>
    <row r="9">
      <c r="A9" s="7" t="inlineStr">
        <is>
          <t>折现因子 DF</t>
        </is>
      </c>
    </row>
    <row r="10">
      <c r="A10" s="7" t="inlineStr">
        <is>
          <t>FCF现值 PV</t>
        </is>
      </c>
    </row>
    <row r="12">
      <c r="A12" s="7" t="inlineStr">
        <is>
          <t>预测期PV合计 Σ PV(FCF)</t>
        </is>
      </c>
    </row>
    <row r="13">
      <c r="A13" s="7" t="inlineStr">
        <is>
          <t>终值 Terminal value</t>
        </is>
      </c>
    </row>
    <row r="14">
      <c r="A14" s="7" t="inlineStr">
        <is>
          <t>终值现值 PV(TV)</t>
        </is>
      </c>
    </row>
    <row r="15">
      <c r="A15" s="7" t="inlineStr">
        <is>
          <t>企业价值 Enterprise value</t>
        </is>
      </c>
    </row>
    <row r="16">
      <c r="A16" s="7" t="inlineStr">
        <is>
          <t>净负债 Net debt</t>
        </is>
      </c>
    </row>
    <row r="17">
      <c r="A17" s="7" t="inlineStr">
        <is>
          <t>股权价值 Equity value</t>
        </is>
      </c>
    </row>
    <row r="18">
      <c r="A18" s="7" t="inlineStr">
        <is>
          <t>每股价值 Value per share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72693.69</v>
      </c>
      <c r="C3" s="3" t="inlineStr">
        <is>
          <t>废弃</t>
        </is>
      </c>
    </row>
    <row r="4">
      <c r="A4" s="3" t="inlineStr">
        <is>
          <t>预留</t>
        </is>
      </c>
      <c r="B4" s="4" t="n">
        <v>82326.38</v>
      </c>
      <c r="C4" s="3" t="inlineStr">
        <is>
          <t>old</t>
        </is>
      </c>
    </row>
    <row r="5">
      <c r="A5" s="3" t="inlineStr">
        <is>
          <t>预留</t>
        </is>
      </c>
      <c r="B5" s="4" t="n">
        <v>77586.03</v>
      </c>
      <c r="C5" s="3" t="inlineStr">
        <is>
          <t>old</t>
        </is>
      </c>
    </row>
    <row r="6">
      <c r="A6" s="3" t="inlineStr">
        <is>
          <t>杂项</t>
        </is>
      </c>
      <c r="B6" s="4" t="n">
        <v>48886.81</v>
      </c>
      <c r="C6" s="3" t="inlineStr"/>
    </row>
    <row r="7">
      <c r="A7" s="3" t="inlineStr">
        <is>
          <t>预留</t>
        </is>
      </c>
      <c r="B7" s="4" t="n">
        <v>42132.84</v>
      </c>
      <c r="C7" s="3" t="inlineStr">
        <is>
          <t>old</t>
        </is>
      </c>
    </row>
    <row r="8">
      <c r="A8" s="3" t="inlineStr">
        <is>
          <t>TBD</t>
        </is>
      </c>
      <c r="B8" s="4" t="n">
        <v>40366.64</v>
      </c>
      <c r="C8" s="3" t="inlineStr"/>
    </row>
    <row r="9">
      <c r="A9" s="3" t="inlineStr">
        <is>
          <t>预留</t>
        </is>
      </c>
      <c r="B9" s="4" t="n">
        <v>7389.49</v>
      </c>
      <c r="C9" s="3" t="inlineStr">
        <is>
          <t>old</t>
        </is>
      </c>
    </row>
    <row r="10">
      <c r="A10" s="3" t="inlineStr">
        <is>
          <t>预留</t>
        </is>
      </c>
      <c r="B10" s="4" t="n">
        <v>11977.69</v>
      </c>
      <c r="C10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57118.13</v>
      </c>
      <c r="C3" s="3" t="inlineStr">
        <is>
          <t>废弃</t>
        </is>
      </c>
    </row>
    <row r="4">
      <c r="A4" s="3" t="inlineStr">
        <is>
          <t>TBD</t>
        </is>
      </c>
      <c r="B4" s="4" t="n">
        <v>17735.6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3303.31</v>
      </c>
      <c r="C5" s="3" t="inlineStr"/>
    </row>
    <row r="6">
      <c r="A6" s="3" t="inlineStr">
        <is>
          <t>Misc</t>
        </is>
      </c>
      <c r="B6" s="4" t="n">
        <v>47205.72</v>
      </c>
      <c r="C6" s="3" t="inlineStr"/>
    </row>
    <row r="7">
      <c r="A7" s="3" t="inlineStr">
        <is>
          <t>TBD</t>
        </is>
      </c>
      <c r="B7" s="4" t="n">
        <v>70856.8</v>
      </c>
      <c r="C7" s="3" t="inlineStr">
        <is>
          <t>check later</t>
        </is>
      </c>
    </row>
    <row r="8">
      <c r="A8" s="3" t="inlineStr">
        <is>
          <t>杂项</t>
        </is>
      </c>
      <c r="B8" s="4" t="n">
        <v>18718.8</v>
      </c>
      <c r="C8" s="3" t="inlineStr">
        <is>
          <t>废弃</t>
        </is>
      </c>
    </row>
    <row r="9">
      <c r="A9" s="3" t="inlineStr">
        <is>
          <t>Misc</t>
        </is>
      </c>
      <c r="B9" s="4" t="n">
        <v>12115.4</v>
      </c>
      <c r="C9" s="3" t="inlineStr">
        <is>
          <t>old</t>
        </is>
      </c>
    </row>
    <row r="10">
      <c r="A10" s="3" t="inlineStr">
        <is>
          <t>TBD</t>
        </is>
      </c>
      <c r="B10" s="4" t="n">
        <v>22712.35</v>
      </c>
      <c r="C10" s="3" t="inlineStr"/>
    </row>
    <row r="11">
      <c r="A11" s="3" t="inlineStr">
        <is>
          <t>TBD</t>
        </is>
      </c>
      <c r="B11" s="4" t="n">
        <v>59061.48</v>
      </c>
      <c r="C11" s="3" t="inlineStr"/>
    </row>
    <row r="12">
      <c r="A12" s="3" t="inlineStr">
        <is>
          <t>TBD</t>
        </is>
      </c>
      <c r="B12" s="4" t="n">
        <v>72120.57000000001</v>
      </c>
      <c r="C12" s="3" t="inlineStr">
        <is>
          <t>old</t>
        </is>
      </c>
    </row>
    <row r="13">
      <c r="A13" s="3" t="inlineStr">
        <is>
          <t>杂项</t>
        </is>
      </c>
      <c r="B13" s="4" t="n">
        <v>76098.31</v>
      </c>
      <c r="C13" s="3" t="inlineStr"/>
    </row>
    <row r="14">
      <c r="A14" s="3" t="inlineStr">
        <is>
          <t>Misc</t>
        </is>
      </c>
      <c r="B14" s="4" t="n">
        <v>62373.57</v>
      </c>
      <c r="C14" s="3" t="inlineStr">
        <is>
          <t>old</t>
        </is>
      </c>
    </row>
    <row r="15">
      <c r="A15" s="3" t="inlineStr">
        <is>
          <t>预留</t>
        </is>
      </c>
      <c r="B15" s="4" t="n">
        <v>35697.1</v>
      </c>
      <c r="C15" s="3" t="inlineStr">
        <is>
          <t>old</t>
        </is>
      </c>
    </row>
    <row r="16">
      <c r="A16" s="3" t="inlineStr">
        <is>
          <t>预留</t>
        </is>
      </c>
      <c r="B16" s="4" t="n">
        <v>8628.18</v>
      </c>
      <c r="C16" s="3" t="inlineStr">
        <is>
          <t>old</t>
        </is>
      </c>
    </row>
    <row r="17">
      <c r="A17" s="3" t="inlineStr">
        <is>
          <t>预留</t>
        </is>
      </c>
      <c r="B17" s="4" t="n">
        <v>77447.42</v>
      </c>
      <c r="C17" s="3" t="inlineStr"/>
    </row>
    <row r="18">
      <c r="A18" s="3" t="inlineStr">
        <is>
          <t>预留</t>
        </is>
      </c>
      <c r="B18" s="4" t="n">
        <v>56664.05</v>
      </c>
      <c r="C18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48240.07</v>
      </c>
      <c r="C3" s="3" t="inlineStr">
        <is>
          <t>old</t>
        </is>
      </c>
    </row>
    <row r="4">
      <c r="A4" s="3" t="inlineStr">
        <is>
          <t>Misc</t>
        </is>
      </c>
      <c r="B4" s="4" t="n">
        <v>18490.76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7376.04</v>
      </c>
      <c r="C5" s="3" t="inlineStr">
        <is>
          <t>check later</t>
        </is>
      </c>
    </row>
    <row r="6">
      <c r="A6" s="3" t="inlineStr">
        <is>
          <t>TBD</t>
        </is>
      </c>
      <c r="B6" s="4" t="n">
        <v>8751.65</v>
      </c>
      <c r="C6" s="3" t="inlineStr">
        <is>
          <t>old</t>
        </is>
      </c>
    </row>
    <row r="7">
      <c r="A7" s="3" t="inlineStr">
        <is>
          <t>TBD</t>
        </is>
      </c>
      <c r="B7" s="4" t="n">
        <v>7350.98</v>
      </c>
      <c r="C7" s="3" t="inlineStr"/>
    </row>
    <row r="8">
      <c r="A8" s="3" t="inlineStr">
        <is>
          <t>Misc</t>
        </is>
      </c>
      <c r="B8" s="4" t="n">
        <v>5980.57</v>
      </c>
      <c r="C8" s="3" t="inlineStr">
        <is>
          <t>old</t>
        </is>
      </c>
    </row>
    <row r="9">
      <c r="A9" s="3" t="inlineStr">
        <is>
          <t>Misc</t>
        </is>
      </c>
      <c r="B9" s="4" t="n">
        <v>55570.23</v>
      </c>
      <c r="C9" s="3" t="inlineStr">
        <is>
          <t>废弃</t>
        </is>
      </c>
    </row>
    <row r="10">
      <c r="A10" s="3" t="inlineStr">
        <is>
          <t>调整</t>
        </is>
      </c>
      <c r="B10" s="4" t="n">
        <v>7408.66</v>
      </c>
      <c r="C10" s="3" t="inlineStr">
        <is>
          <t>old</t>
        </is>
      </c>
    </row>
    <row r="11">
      <c r="A11" s="3" t="inlineStr">
        <is>
          <t>TBD</t>
        </is>
      </c>
      <c r="B11" s="4" t="n">
        <v>32668.48</v>
      </c>
      <c r="C11" s="3" t="inlineStr">
        <is>
          <t>old</t>
        </is>
      </c>
    </row>
    <row r="12">
      <c r="A12" s="3" t="inlineStr">
        <is>
          <t>Misc</t>
        </is>
      </c>
      <c r="B12" s="4" t="n">
        <v>88303.75999999999</v>
      </c>
      <c r="C12" s="3" t="inlineStr">
        <is>
          <t>old</t>
        </is>
      </c>
    </row>
    <row r="13">
      <c r="A13" s="3" t="inlineStr">
        <is>
          <t>TBD</t>
        </is>
      </c>
      <c r="B13" s="4" t="n">
        <v>25044.55</v>
      </c>
      <c r="C13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2026-07-23T23:26:07Z</dcterms:created>
  <dcterms:modified xsi:type="dcterms:W3CDTF">2026-07-23T23:26:07Z</dcterms:modified>
</cp:coreProperties>
</file>