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Notes_DoNotUse" sheetId="11" state="visible" r:id="rId11"/>
    <sheet name="Notes_DoNotUs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17762.81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0.4461</v>
      </c>
      <c r="C4" s="3" t="inlineStr"/>
    </row>
    <row r="5">
      <c r="A5" s="3" t="inlineStr">
        <is>
          <t>费用率 Opex %</t>
        </is>
      </c>
      <c r="B5" s="5" t="n">
        <v>0.2138</v>
      </c>
      <c r="C5" s="3" t="inlineStr"/>
    </row>
    <row r="6">
      <c r="A6" s="3" t="inlineStr">
        <is>
          <t>所得税率 Tax rate</t>
        </is>
      </c>
      <c r="B6" s="5" t="n">
        <v>0.2475</v>
      </c>
      <c r="C6" s="3" t="inlineStr"/>
    </row>
    <row r="7">
      <c r="A7" s="3" t="inlineStr">
        <is>
          <t>资本开支率 Capex %</t>
        </is>
      </c>
      <c r="B7" s="5" t="n">
        <v>0.0635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47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57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0.0722</v>
      </c>
      <c r="C12" s="3" t="inlineStr"/>
    </row>
    <row r="13">
      <c r="A13" s="3" t="inlineStr">
        <is>
          <t>WACC</t>
        </is>
      </c>
      <c r="B13" s="5" t="n">
        <v>0.1053</v>
      </c>
      <c r="C13" s="3" t="inlineStr"/>
    </row>
    <row r="14">
      <c r="A14" s="3" t="inlineStr">
        <is>
          <t>永续增长 Terminal growth</t>
        </is>
      </c>
      <c r="B14" s="5" t="n">
        <v>0.0264</v>
      </c>
      <c r="C14" s="3" t="inlineStr"/>
    </row>
    <row r="15">
      <c r="A15" s="3" t="inlineStr">
        <is>
          <t>股本 Shares</t>
        </is>
      </c>
      <c r="B15" s="6" t="n">
        <v>3281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2389.62</v>
      </c>
      <c r="C16" s="3" t="inlineStr"/>
    </row>
    <row r="17">
      <c r="A17" s="3" t="inlineStr">
        <is>
          <t>期初固定资产原值</t>
        </is>
      </c>
      <c r="B17" s="4" t="n">
        <v>17158.53</v>
      </c>
      <c r="C17" s="3" t="inlineStr"/>
    </row>
    <row r="18">
      <c r="A18" s="3" t="inlineStr">
        <is>
          <t>期初累计折旧</t>
        </is>
      </c>
      <c r="B18" s="4" t="n">
        <v>2096.21</v>
      </c>
      <c r="C18" s="3" t="inlineStr"/>
    </row>
    <row r="19">
      <c r="A19" s="3" t="inlineStr">
        <is>
          <t>期初有息负债</t>
        </is>
      </c>
      <c r="B19" s="4" t="n">
        <v>9078.309999999999</v>
      </c>
      <c r="C19" s="3" t="inlineStr"/>
    </row>
    <row r="20">
      <c r="A20" s="3" t="inlineStr">
        <is>
          <t>残值率 Salvage %</t>
        </is>
      </c>
      <c r="B20" s="5" t="n">
        <v>0.1431</v>
      </c>
      <c r="C20" s="3" t="inlineStr"/>
    </row>
    <row r="21">
      <c r="A21" s="3" t="inlineStr">
        <is>
          <t>毛利率年提升 GM ramp/yr</t>
        </is>
      </c>
      <c r="B21" s="5" t="n">
        <v>0.0109</v>
      </c>
      <c r="C21" s="3" t="inlineStr"/>
    </row>
    <row r="22">
      <c r="A22" s="3" t="inlineStr">
        <is>
          <t>固定费用 Fixed opex</t>
        </is>
      </c>
      <c r="B22" s="4" t="n">
        <v>1214.88</v>
      </c>
      <c r="C22" s="3" t="inlineStr"/>
    </row>
    <row r="23">
      <c r="A23" s="3" t="inlineStr">
        <is>
          <t>退出倍数 Exit EV/EBIT</t>
        </is>
      </c>
      <c r="B23" s="3" t="n">
        <v>8.210000000000001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0.2893</v>
      </c>
    </row>
    <row r="25">
      <c r="A25" s="3" t="inlineStr">
        <is>
          <t>收入增速 2025 Growth</t>
        </is>
      </c>
      <c r="B25" s="5" t="n">
        <v>0.3137</v>
      </c>
    </row>
    <row r="26">
      <c r="A26" s="3" t="inlineStr">
        <is>
          <t>收入增速 2026 Growth</t>
        </is>
      </c>
      <c r="B26" s="5" t="n">
        <v>0.326</v>
      </c>
    </row>
    <row r="27">
      <c r="A27" s="3" t="inlineStr">
        <is>
          <t>收入增速 2027 Growth</t>
        </is>
      </c>
      <c r="B27" s="5" t="n">
        <v>0.3436</v>
      </c>
    </row>
    <row r="28">
      <c r="A28" s="3" t="inlineStr">
        <is>
          <t>收入增速 2028 Growth</t>
        </is>
      </c>
      <c r="B28" s="5" t="n">
        <v>0.1625</v>
      </c>
    </row>
    <row r="29">
      <c r="A29" s="3" t="inlineStr">
        <is>
          <t>还本 2024 Debt repayment</t>
        </is>
      </c>
      <c r="B29" s="4" t="n">
        <v>1190.49</v>
      </c>
    </row>
    <row r="30">
      <c r="A30" s="3" t="inlineStr">
        <is>
          <t>还本 2025 Debt repayment</t>
        </is>
      </c>
      <c r="B30" s="4" t="n">
        <v>969.78</v>
      </c>
    </row>
    <row r="31">
      <c r="A31" s="3" t="inlineStr">
        <is>
          <t>还本 2026 Debt repayment</t>
        </is>
      </c>
      <c r="B31" s="4" t="n">
        <v>1011.57</v>
      </c>
    </row>
    <row r="32">
      <c r="A32" s="3" t="inlineStr">
        <is>
          <t>还本 2027 Debt repayment</t>
        </is>
      </c>
      <c r="B32" s="4" t="n">
        <v>484.84</v>
      </c>
    </row>
    <row r="33">
      <c r="A33" s="3" t="inlineStr">
        <is>
          <t>还本 2028 Debt repayment</t>
        </is>
      </c>
      <c r="B33" s="4" t="n">
        <v>716.05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17762.81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Revenue!D3*Assumptions!B7</f>
        <v/>
      </c>
      <c r="E4">
        <f>Revenue!E3*Assumptions!B7</f>
        <v/>
      </c>
      <c r="F4">
        <f>Revenue!F3*Assumptions!B7</f>
        <v/>
      </c>
      <c r="G4">
        <f>Revenue!G3*Assumptions!B7</f>
        <v/>
      </c>
    </row>
    <row r="5">
      <c r="A5" s="7" t="inlineStr">
        <is>
          <t>期末原值 Gross end</t>
        </is>
      </c>
      <c r="B5" s="4" t="n">
        <v>17158.53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2096.21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9078.309999999999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2433.26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1266.92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1536.47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2389.62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2389.62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2433.26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1266.92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15062.32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1536.47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9078.309999999999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10537.34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64435.68</v>
      </c>
      <c r="C3" s="3" t="inlineStr">
        <is>
          <t>old</t>
        </is>
      </c>
    </row>
    <row r="4">
      <c r="A4" s="3" t="inlineStr">
        <is>
          <t>杂项</t>
        </is>
      </c>
      <c r="B4" s="4" t="n">
        <v>12750.24</v>
      </c>
      <c r="C4" s="3" t="inlineStr"/>
    </row>
    <row r="5">
      <c r="A5" s="3" t="inlineStr">
        <is>
          <t>杂项</t>
        </is>
      </c>
      <c r="B5" s="4" t="n">
        <v>80880.66</v>
      </c>
      <c r="C5" s="3" t="inlineStr">
        <is>
          <t>废弃</t>
        </is>
      </c>
    </row>
    <row r="6">
      <c r="A6" s="3" t="inlineStr">
        <is>
          <t>预留</t>
        </is>
      </c>
      <c r="B6" s="4" t="n">
        <v>83056.31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6021.53</v>
      </c>
      <c r="C7" s="3" t="inlineStr"/>
    </row>
    <row r="8">
      <c r="A8" s="3" t="inlineStr">
        <is>
          <t>杂项</t>
        </is>
      </c>
      <c r="B8" s="4" t="n">
        <v>1008.57</v>
      </c>
      <c r="C8" s="3" t="inlineStr">
        <is>
          <t>废弃</t>
        </is>
      </c>
    </row>
    <row r="9">
      <c r="A9" s="3" t="inlineStr">
        <is>
          <t>Misc</t>
        </is>
      </c>
      <c r="B9" s="4" t="n">
        <v>72291.11</v>
      </c>
      <c r="C9" s="3" t="inlineStr">
        <is>
          <t>check later</t>
        </is>
      </c>
    </row>
    <row r="10">
      <c r="A10" s="3" t="inlineStr">
        <is>
          <t>调整</t>
        </is>
      </c>
      <c r="B10" s="4" t="n">
        <v>76209.28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14925.6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59298.04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1768.7</v>
      </c>
      <c r="C13" s="3" t="inlineStr">
        <is>
          <t>check later</t>
        </is>
      </c>
    </row>
    <row r="14">
      <c r="A14" s="3" t="inlineStr">
        <is>
          <t>Misc</t>
        </is>
      </c>
      <c r="B14" s="4" t="n">
        <v>30074.38</v>
      </c>
      <c r="C14" s="3" t="inlineStr"/>
    </row>
    <row r="15">
      <c r="A15" s="3" t="inlineStr">
        <is>
          <t>杂项</t>
        </is>
      </c>
      <c r="B15" s="4" t="n">
        <v>22907.2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15175.13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37163.07</v>
      </c>
      <c r="C3" s="3" t="inlineStr">
        <is>
          <t>old</t>
        </is>
      </c>
    </row>
    <row r="4">
      <c r="A4" s="3" t="inlineStr">
        <is>
          <t>调整</t>
        </is>
      </c>
      <c r="B4" s="4" t="n">
        <v>54005.6</v>
      </c>
      <c r="C4" s="3" t="inlineStr">
        <is>
          <t>old</t>
        </is>
      </c>
    </row>
    <row r="5">
      <c r="A5" s="3" t="inlineStr">
        <is>
          <t>杂项</t>
        </is>
      </c>
      <c r="B5" s="4" t="n">
        <v>14107.14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33962.98</v>
      </c>
      <c r="C6" s="3" t="inlineStr"/>
    </row>
    <row r="7">
      <c r="A7" s="3" t="inlineStr">
        <is>
          <t>预留</t>
        </is>
      </c>
      <c r="B7" s="4" t="n">
        <v>49431.4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1551.78</v>
      </c>
      <c r="C8" s="3" t="inlineStr">
        <is>
          <t>old</t>
        </is>
      </c>
    </row>
    <row r="9">
      <c r="A9" s="3" t="inlineStr">
        <is>
          <t>杂项</t>
        </is>
      </c>
      <c r="B9" s="4" t="n">
        <v>25237.35</v>
      </c>
      <c r="C9" s="3" t="inlineStr"/>
    </row>
    <row r="10">
      <c r="A10" s="3" t="inlineStr">
        <is>
          <t>预留</t>
        </is>
      </c>
      <c r="B10" s="4" t="n">
        <v>50181.26</v>
      </c>
      <c r="C10" s="3" t="inlineStr">
        <is>
          <t>old</t>
        </is>
      </c>
    </row>
    <row r="11">
      <c r="A11" s="3" t="inlineStr">
        <is>
          <t>杂项</t>
        </is>
      </c>
      <c r="B11" s="4" t="n">
        <v>73936.12</v>
      </c>
      <c r="C11" s="3" t="inlineStr">
        <is>
          <t>废弃</t>
        </is>
      </c>
    </row>
    <row r="12">
      <c r="A12" s="3" t="inlineStr">
        <is>
          <t>预留</t>
        </is>
      </c>
      <c r="B12" s="4" t="n">
        <v>17042.97</v>
      </c>
      <c r="C12" s="3" t="inlineStr"/>
    </row>
    <row r="13">
      <c r="A13" s="3" t="inlineStr">
        <is>
          <t>TBD</t>
        </is>
      </c>
      <c r="B13" s="4" t="n">
        <v>74238.10000000001</v>
      </c>
      <c r="C13" s="3" t="inlineStr">
        <is>
          <t>check later</t>
        </is>
      </c>
    </row>
    <row r="14">
      <c r="A14" s="3" t="inlineStr">
        <is>
          <t>预留</t>
        </is>
      </c>
      <c r="B14" s="4" t="n">
        <v>81037.67999999999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32191.49</v>
      </c>
      <c r="C15" s="3" t="inlineStr"/>
    </row>
    <row r="16">
      <c r="A16" s="3" t="inlineStr">
        <is>
          <t>TBD</t>
        </is>
      </c>
      <c r="B16" s="4" t="n">
        <v>82252.95</v>
      </c>
      <c r="C16" s="3" t="inlineStr"/>
    </row>
    <row r="17">
      <c r="A17" s="3" t="inlineStr">
        <is>
          <t>Misc</t>
        </is>
      </c>
      <c r="B17" s="4" t="n">
        <v>58095.43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20141.05</v>
      </c>
      <c r="C3" s="3" t="inlineStr"/>
    </row>
    <row r="4">
      <c r="A4" s="3" t="inlineStr">
        <is>
          <t>Misc</t>
        </is>
      </c>
      <c r="B4" s="4" t="n">
        <v>77539.64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55119.32</v>
      </c>
      <c r="C5" s="3" t="inlineStr"/>
    </row>
    <row r="6">
      <c r="A6" s="3" t="inlineStr">
        <is>
          <t>调整</t>
        </is>
      </c>
      <c r="B6" s="4" t="n">
        <v>49892.24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4979.68</v>
      </c>
      <c r="C7" s="3" t="inlineStr">
        <is>
          <t>old</t>
        </is>
      </c>
    </row>
    <row r="8">
      <c r="A8" s="3" t="inlineStr">
        <is>
          <t>杂项</t>
        </is>
      </c>
      <c r="B8" s="4" t="n">
        <v>79683.27</v>
      </c>
      <c r="C8" s="3" t="inlineStr">
        <is>
          <t>old</t>
        </is>
      </c>
    </row>
    <row r="9">
      <c r="A9" s="3" t="inlineStr">
        <is>
          <t>预留</t>
        </is>
      </c>
      <c r="B9" s="4" t="n">
        <v>30474.15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4254.66</v>
      </c>
      <c r="C10" s="3" t="inlineStr"/>
    </row>
    <row r="11">
      <c r="A11" s="3" t="inlineStr">
        <is>
          <t>Misc</t>
        </is>
      </c>
      <c r="B11" s="4" t="n">
        <v>66154.00999999999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47036.58</v>
      </c>
      <c r="C12" s="3" t="inlineStr">
        <is>
          <t>old</t>
        </is>
      </c>
    </row>
    <row r="13">
      <c r="A13" s="3" t="inlineStr">
        <is>
          <t>TBD</t>
        </is>
      </c>
      <c r="B13" s="4" t="n">
        <v>87222.36</v>
      </c>
      <c r="C13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2026-07-23T23:38:31Z</dcterms:created>
  <dcterms:modified xsi:type="dcterms:W3CDTF">2026-07-24T04:12:12Z</dcterms:modified>
</cp:coreProperties>
</file>