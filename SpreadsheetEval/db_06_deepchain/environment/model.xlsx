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Notes_DoNotUse" sheetId="11" state="visible" r:id="rId11"/>
    <sheet name="Notes_DoNotUse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17762.81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0.4461</v>
      </c>
      <c r="C4" s="3" t="inlineStr"/>
    </row>
    <row r="5">
      <c r="A5" s="3" t="inlineStr">
        <is>
          <t>费用率 Opex %</t>
        </is>
      </c>
      <c r="B5" s="5" t="n">
        <v>0.2138</v>
      </c>
      <c r="C5" s="3" t="inlineStr"/>
    </row>
    <row r="6">
      <c r="A6" s="3" t="inlineStr">
        <is>
          <t>所得税率 Tax rate</t>
        </is>
      </c>
      <c r="B6" s="5" t="n">
        <v>0.2475</v>
      </c>
      <c r="C6" s="3" t="inlineStr"/>
    </row>
    <row r="7">
      <c r="A7" s="3" t="inlineStr">
        <is>
          <t>资本开支率 Capex %</t>
        </is>
      </c>
      <c r="B7" s="5" t="n">
        <v>0.0635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47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57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0.0722</v>
      </c>
      <c r="C12" s="3" t="inlineStr"/>
    </row>
    <row r="13">
      <c r="A13" s="3" t="inlineStr">
        <is>
          <t>WACC</t>
        </is>
      </c>
      <c r="B13" s="5" t="n">
        <v>0.1053</v>
      </c>
      <c r="C13" s="3" t="inlineStr"/>
    </row>
    <row r="14">
      <c r="A14" s="3" t="inlineStr">
        <is>
          <t>永续增长 Terminal growth</t>
        </is>
      </c>
      <c r="B14" s="5" t="n">
        <v>0.0264</v>
      </c>
      <c r="C14" s="3" t="inlineStr"/>
    </row>
    <row r="15">
      <c r="A15" s="3" t="inlineStr">
        <is>
          <t>股本 Shares</t>
        </is>
      </c>
      <c r="B15" s="6" t="n">
        <v>3281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2389.62</v>
      </c>
      <c r="C16" s="3" t="inlineStr"/>
    </row>
    <row r="17">
      <c r="A17" s="3" t="inlineStr">
        <is>
          <t>期初固定资产原值</t>
        </is>
      </c>
      <c r="B17" s="4" t="n">
        <v>17158.53</v>
      </c>
      <c r="C17" s="3" t="inlineStr"/>
    </row>
    <row r="18">
      <c r="A18" s="3" t="inlineStr">
        <is>
          <t>期初累计折旧</t>
        </is>
      </c>
      <c r="B18" s="4" t="n">
        <v>2096.21</v>
      </c>
      <c r="C18" s="3" t="inlineStr"/>
    </row>
    <row r="19">
      <c r="A19" s="3" t="inlineStr">
        <is>
          <t>期初有息负债</t>
        </is>
      </c>
      <c r="B19" s="4" t="n">
        <v>9078.309999999999</v>
      </c>
      <c r="C19" s="3" t="inlineStr"/>
    </row>
    <row r="20">
      <c r="A20" s="3" t="inlineStr">
        <is>
          <t>残值率 Salvage %</t>
        </is>
      </c>
      <c r="B20" s="5" t="n">
        <v>0.1431</v>
      </c>
      <c r="C20" s="3" t="inlineStr"/>
    </row>
    <row r="21">
      <c r="A21" s="3" t="inlineStr">
        <is>
          <t>毛利率年提升 GM ramp/yr</t>
        </is>
      </c>
      <c r="B21" s="5" t="n">
        <v>0.0109</v>
      </c>
      <c r="C21" s="3" t="inlineStr"/>
    </row>
    <row r="22">
      <c r="A22" s="3" t="inlineStr">
        <is>
          <t>固定费用 Fixed opex</t>
        </is>
      </c>
      <c r="B22" s="4" t="n">
        <v>1214.88</v>
      </c>
      <c r="C22" s="3" t="inlineStr"/>
    </row>
    <row r="23">
      <c r="A23" s="3" t="inlineStr">
        <is>
          <t>退出倍数 Exit EV/EBIT</t>
        </is>
      </c>
      <c r="B23" s="3" t="n">
        <v>8.210000000000001</v>
      </c>
      <c r="C23" s="3" t="inlineStr">
        <is>
          <t>x</t>
        </is>
      </c>
    </row>
    <row r="24">
      <c r="A24" s="3" t="inlineStr">
        <is>
          <t>收入增速 2024 Growth</t>
        </is>
      </c>
      <c r="B24" s="5" t="n">
        <v>0.2893</v>
      </c>
    </row>
    <row r="25">
      <c r="A25" s="3" t="inlineStr">
        <is>
          <t>收入增速 2025 Growth</t>
        </is>
      </c>
      <c r="B25" s="5" t="n">
        <v>0.3137</v>
      </c>
    </row>
    <row r="26">
      <c r="A26" s="3" t="inlineStr">
        <is>
          <t>收入增速 2026 Growth</t>
        </is>
      </c>
      <c r="B26" s="5" t="n">
        <v>0.326</v>
      </c>
    </row>
    <row r="27">
      <c r="A27" s="3" t="inlineStr">
        <is>
          <t>收入增速 2027 Growth</t>
        </is>
      </c>
      <c r="B27" s="5" t="n">
        <v>0.3436</v>
      </c>
    </row>
    <row r="28">
      <c r="A28" s="3" t="inlineStr">
        <is>
          <t>收入增速 2028 Growth</t>
        </is>
      </c>
      <c r="B28" s="5" t="n">
        <v>0.1625</v>
      </c>
    </row>
    <row r="29">
      <c r="A29" s="3" t="inlineStr">
        <is>
          <t>还本 2024 Debt repayment</t>
        </is>
      </c>
      <c r="B29" s="4" t="n">
        <v>1190.49</v>
      </c>
    </row>
    <row r="30">
      <c r="A30" s="3" t="inlineStr">
        <is>
          <t>还本 2025 Debt repayment</t>
        </is>
      </c>
      <c r="B30" s="4" t="n">
        <v>969.78</v>
      </c>
    </row>
    <row r="31">
      <c r="A31" s="3" t="inlineStr">
        <is>
          <t>还本 2026 Debt repayment</t>
        </is>
      </c>
      <c r="B31" s="4" t="n">
        <v>1011.57</v>
      </c>
    </row>
    <row r="32">
      <c r="A32" s="3" t="inlineStr">
        <is>
          <t>还本 2027 Debt repayment</t>
        </is>
      </c>
      <c r="B32" s="4" t="n">
        <v>484.84</v>
      </c>
    </row>
    <row r="33">
      <c r="A33" s="3" t="inlineStr">
        <is>
          <t>还本 2028 Debt repayment</t>
        </is>
      </c>
      <c r="B33" s="4" t="n">
        <v>716.05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折旧按【期初原值】计提（非期末）：Depreciation = 期初原值 / 折旧年限。</t>
        </is>
      </c>
    </row>
    <row r="37">
      <c r="A37" t="inlineStr">
        <is>
          <t>• 折旧考虑残值：Depreciation = (期初原值 × (1−残值率)) / 折旧年限。</t>
        </is>
      </c>
    </row>
    <row r="38">
      <c r="A38" t="inlineStr">
        <is>
          <t>• 营运资本天数基数采用 360 天（非 365）：AR/存货/AP 均按 /360 计算。</t>
        </is>
      </c>
    </row>
    <row r="39">
      <c r="A39" t="inlineStr">
        <is>
          <t>• 利息按【期初与期末负债的平均】计提：Interest = (期初+期末)/2 × 利率。</t>
        </is>
      </c>
    </row>
    <row r="40">
      <c r="A40" t="inlineStr">
        <is>
          <t>• 期间费用 = 收入 × 费用率 + 固定费用（含一笔固定管理费）。</t>
        </is>
      </c>
    </row>
    <row r="41">
      <c r="A41" t="inlineStr">
        <is>
          <t>• 毛利率逐年提升：第 t 年毛利率 = 基准毛利率 + GM ramp ×(t−1)。</t>
        </is>
      </c>
    </row>
    <row r="42">
      <c r="A42" t="inlineStr">
        <is>
          <t>• 终值采用【退出倍数法】：TV = 末期EBIT × 退出倍数（非永续增长法）。</t>
        </is>
      </c>
    </row>
    <row r="43">
      <c r="A43" t="inlineStr">
        <is>
          <t>• DCF 采用【期中折现】：折现因子 = 1/(1+WACC)^(t−0.5)。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17762.81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Revenue!D3*Assumptions!B5</f>
        <v/>
      </c>
      <c r="E4">
        <f>Revenue!E3*Assumptions!B5</f>
        <v/>
      </c>
      <c r="F4">
        <f>Revenue!F3*Assumptions!B5</f>
        <v/>
      </c>
      <c r="G4">
        <f>Revenue!G3*Assumptions!B5</f>
        <v/>
      </c>
    </row>
    <row r="5">
      <c r="A5" s="7" t="inlineStr">
        <is>
          <t>期末原值 Gross end</t>
        </is>
      </c>
      <c r="B5" s="4" t="n">
        <v>17158.53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C3*(1+Assumptions!B20)/Assumptions!B8</f>
        <v/>
      </c>
      <c r="D6">
        <f>D3*(1+Assumptions!B20)/Assumptions!B8</f>
        <v/>
      </c>
      <c r="E6">
        <f>E3*(1+Assumptions!B20)/Assumptions!B8</f>
        <v/>
      </c>
      <c r="F6">
        <f>F3*(1+Assumptions!B20)/Assumptions!B8</f>
        <v/>
      </c>
      <c r="G6">
        <f>G3*(1+Assumptions!B20)/Assumptions!B8</f>
        <v/>
      </c>
    </row>
    <row r="7" hidden="1">
      <c r="A7" s="7" t="inlineStr">
        <is>
          <t>累计折旧 Accum. dep</t>
        </is>
      </c>
      <c r="B7" s="4" t="n">
        <v>2096.21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B5+B7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  <c r="G6">
        <f>G3*Assumptions!B7+Assumptions!B22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9078.309999999999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2433.26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1266.92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1536.47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B3+B4+B5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B6-B6</f>
        <v/>
      </c>
      <c r="D7">
        <f>C6-C6</f>
        <v/>
      </c>
      <c r="E7">
        <f>D6-D6</f>
        <v/>
      </c>
      <c r="F7">
        <f>E6-E6</f>
        <v/>
      </c>
      <c r="G7">
        <f>F6-F6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2389.62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2389.62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2433.26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1266.92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15062.32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1536.47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9078.309999999999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10537.34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64435.68</v>
      </c>
      <c r="C3" s="3" t="inlineStr">
        <is>
          <t>old</t>
        </is>
      </c>
    </row>
    <row r="4">
      <c r="A4" s="3" t="inlineStr">
        <is>
          <t>杂项</t>
        </is>
      </c>
      <c r="B4" s="4" t="n">
        <v>12750.24</v>
      </c>
      <c r="C4" s="3" t="inlineStr"/>
    </row>
    <row r="5">
      <c r="A5" s="3" t="inlineStr">
        <is>
          <t>杂项</t>
        </is>
      </c>
      <c r="B5" s="4" t="n">
        <v>80880.66</v>
      </c>
      <c r="C5" s="3" t="inlineStr">
        <is>
          <t>废弃</t>
        </is>
      </c>
    </row>
    <row r="6">
      <c r="A6" s="3" t="inlineStr">
        <is>
          <t>预留</t>
        </is>
      </c>
      <c r="B6" s="4" t="n">
        <v>83056.31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6021.53</v>
      </c>
      <c r="C7" s="3" t="inlineStr"/>
    </row>
    <row r="8">
      <c r="A8" s="3" t="inlineStr">
        <is>
          <t>杂项</t>
        </is>
      </c>
      <c r="B8" s="4" t="n">
        <v>1008.57</v>
      </c>
      <c r="C8" s="3" t="inlineStr">
        <is>
          <t>废弃</t>
        </is>
      </c>
    </row>
    <row r="9">
      <c r="A9" s="3" t="inlineStr">
        <is>
          <t>Misc</t>
        </is>
      </c>
      <c r="B9" s="4" t="n">
        <v>72291.11</v>
      </c>
      <c r="C9" s="3" t="inlineStr">
        <is>
          <t>check later</t>
        </is>
      </c>
    </row>
    <row r="10">
      <c r="A10" s="3" t="inlineStr">
        <is>
          <t>调整</t>
        </is>
      </c>
      <c r="B10" s="4" t="n">
        <v>76209.28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14925.6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59298.04</v>
      </c>
      <c r="C12" s="3" t="inlineStr">
        <is>
          <t>废弃</t>
        </is>
      </c>
    </row>
    <row r="13">
      <c r="A13" s="3" t="inlineStr">
        <is>
          <t>杂项</t>
        </is>
      </c>
      <c r="B13" s="4" t="n">
        <v>1768.7</v>
      </c>
      <c r="C13" s="3" t="inlineStr">
        <is>
          <t>check later</t>
        </is>
      </c>
    </row>
    <row r="14">
      <c r="A14" s="3" t="inlineStr">
        <is>
          <t>Misc</t>
        </is>
      </c>
      <c r="B14" s="4" t="n">
        <v>30074.38</v>
      </c>
      <c r="C14" s="3" t="inlineStr"/>
    </row>
    <row r="15">
      <c r="A15" s="3" t="inlineStr">
        <is>
          <t>杂项</t>
        </is>
      </c>
      <c r="B15" s="4" t="n">
        <v>22907.2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15175.13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37163.07</v>
      </c>
      <c r="C3" s="3" t="inlineStr">
        <is>
          <t>old</t>
        </is>
      </c>
    </row>
    <row r="4">
      <c r="A4" s="3" t="inlineStr">
        <is>
          <t>调整</t>
        </is>
      </c>
      <c r="B4" s="4" t="n">
        <v>54005.6</v>
      </c>
      <c r="C4" s="3" t="inlineStr">
        <is>
          <t>old</t>
        </is>
      </c>
    </row>
    <row r="5">
      <c r="A5" s="3" t="inlineStr">
        <is>
          <t>杂项</t>
        </is>
      </c>
      <c r="B5" s="4" t="n">
        <v>14107.14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33962.98</v>
      </c>
      <c r="C6" s="3" t="inlineStr"/>
    </row>
    <row r="7">
      <c r="A7" s="3" t="inlineStr">
        <is>
          <t>预留</t>
        </is>
      </c>
      <c r="B7" s="4" t="n">
        <v>49431.4</v>
      </c>
      <c r="C7" s="3" t="inlineStr">
        <is>
          <t>废弃</t>
        </is>
      </c>
    </row>
    <row r="8">
      <c r="A8" s="3" t="inlineStr">
        <is>
          <t>预留</t>
        </is>
      </c>
      <c r="B8" s="4" t="n">
        <v>1551.78</v>
      </c>
      <c r="C8" s="3" t="inlineStr">
        <is>
          <t>old</t>
        </is>
      </c>
    </row>
    <row r="9">
      <c r="A9" s="3" t="inlineStr">
        <is>
          <t>杂项</t>
        </is>
      </c>
      <c r="B9" s="4" t="n">
        <v>25237.35</v>
      </c>
      <c r="C9" s="3" t="inlineStr"/>
    </row>
    <row r="10">
      <c r="A10" s="3" t="inlineStr">
        <is>
          <t>预留</t>
        </is>
      </c>
      <c r="B10" s="4" t="n">
        <v>50181.26</v>
      </c>
      <c r="C10" s="3" t="inlineStr">
        <is>
          <t>old</t>
        </is>
      </c>
    </row>
    <row r="11">
      <c r="A11" s="3" t="inlineStr">
        <is>
          <t>杂项</t>
        </is>
      </c>
      <c r="B11" s="4" t="n">
        <v>73936.12</v>
      </c>
      <c r="C11" s="3" t="inlineStr">
        <is>
          <t>废弃</t>
        </is>
      </c>
    </row>
    <row r="12">
      <c r="A12" s="3" t="inlineStr">
        <is>
          <t>预留</t>
        </is>
      </c>
      <c r="B12" s="4" t="n">
        <v>17042.97</v>
      </c>
      <c r="C12" s="3" t="inlineStr"/>
    </row>
    <row r="13">
      <c r="A13" s="3" t="inlineStr">
        <is>
          <t>TBD</t>
        </is>
      </c>
      <c r="B13" s="4" t="n">
        <v>74238.10000000001</v>
      </c>
      <c r="C13" s="3" t="inlineStr">
        <is>
          <t>check later</t>
        </is>
      </c>
    </row>
    <row r="14">
      <c r="A14" s="3" t="inlineStr">
        <is>
          <t>预留</t>
        </is>
      </c>
      <c r="B14" s="4" t="n">
        <v>81037.67999999999</v>
      </c>
      <c r="C14" s="3" t="inlineStr">
        <is>
          <t>check later</t>
        </is>
      </c>
    </row>
    <row r="15">
      <c r="A15" s="3" t="inlineStr">
        <is>
          <t>TBD</t>
        </is>
      </c>
      <c r="B15" s="4" t="n">
        <v>32191.49</v>
      </c>
      <c r="C15" s="3" t="inlineStr"/>
    </row>
    <row r="16">
      <c r="A16" s="3" t="inlineStr">
        <is>
          <t>TBD</t>
        </is>
      </c>
      <c r="B16" s="4" t="n">
        <v>82252.95</v>
      </c>
      <c r="C16" s="3" t="inlineStr"/>
    </row>
    <row r="17">
      <c r="A17" s="3" t="inlineStr">
        <is>
          <t>Misc</t>
        </is>
      </c>
      <c r="B17" s="4" t="n">
        <v>58095.43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20141.05</v>
      </c>
      <c r="C3" s="3" t="inlineStr"/>
    </row>
    <row r="4">
      <c r="A4" s="3" t="inlineStr">
        <is>
          <t>Misc</t>
        </is>
      </c>
      <c r="B4" s="4" t="n">
        <v>77539.64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55119.32</v>
      </c>
      <c r="C5" s="3" t="inlineStr"/>
    </row>
    <row r="6">
      <c r="A6" s="3" t="inlineStr">
        <is>
          <t>调整</t>
        </is>
      </c>
      <c r="B6" s="4" t="n">
        <v>49892.24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4979.68</v>
      </c>
      <c r="C7" s="3" t="inlineStr">
        <is>
          <t>old</t>
        </is>
      </c>
    </row>
    <row r="8">
      <c r="A8" s="3" t="inlineStr">
        <is>
          <t>杂项</t>
        </is>
      </c>
      <c r="B8" s="4" t="n">
        <v>79683.27</v>
      </c>
      <c r="C8" s="3" t="inlineStr">
        <is>
          <t>old</t>
        </is>
      </c>
    </row>
    <row r="9">
      <c r="A9" s="3" t="inlineStr">
        <is>
          <t>预留</t>
        </is>
      </c>
      <c r="B9" s="4" t="n">
        <v>30474.15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4254.66</v>
      </c>
      <c r="C10" s="3" t="inlineStr"/>
    </row>
    <row r="11">
      <c r="A11" s="3" t="inlineStr">
        <is>
          <t>Misc</t>
        </is>
      </c>
      <c r="B11" s="4" t="n">
        <v>66154.00999999999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47036.58</v>
      </c>
      <c r="C12" s="3" t="inlineStr">
        <is>
          <t>old</t>
        </is>
      </c>
    </row>
    <row r="13">
      <c r="A13" s="3" t="inlineStr">
        <is>
          <t>TBD</t>
        </is>
      </c>
      <c r="B13" s="4" t="n">
        <v>87222.36</v>
      </c>
      <c r="C13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2026-07-23T23:38:31Z</dcterms:created>
  <dcterms:modified xsi:type="dcterms:W3CDTF">2026-07-23T23:38:31Z</dcterms:modified>
</cp:coreProperties>
</file>