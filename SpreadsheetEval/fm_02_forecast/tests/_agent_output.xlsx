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Notes_DoNotUse1" sheetId="11" state="visible" r:id="rId11"/>
    <sheet name="临时草稿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制造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13429.95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0.366</v>
      </c>
      <c r="C4" s="3" t="inlineStr"/>
    </row>
    <row r="5">
      <c r="A5" s="3" t="inlineStr">
        <is>
          <t>费用率 Opex %</t>
        </is>
      </c>
      <c r="B5" s="5" t="n">
        <v>0.2142</v>
      </c>
      <c r="C5" s="3" t="inlineStr"/>
    </row>
    <row r="6">
      <c r="A6" s="3" t="inlineStr">
        <is>
          <t>所得税率 Tax rate</t>
        </is>
      </c>
      <c r="B6" s="5" t="n">
        <v>0.2429</v>
      </c>
      <c r="C6" s="3" t="inlineStr"/>
    </row>
    <row r="7">
      <c r="A7" s="3" t="inlineStr">
        <is>
          <t>资本开支率 Capex %</t>
        </is>
      </c>
      <c r="B7" s="5" t="n">
        <v>0.0864</v>
      </c>
      <c r="C7" s="3" t="inlineStr"/>
    </row>
    <row r="8">
      <c r="A8" s="3" t="inlineStr">
        <is>
          <t>折旧年限 Dep. years</t>
        </is>
      </c>
      <c r="B8" s="3" t="n">
        <v>5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59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58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0.0655</v>
      </c>
      <c r="C12" s="3" t="inlineStr"/>
    </row>
    <row r="13">
      <c r="A13" s="3" t="inlineStr">
        <is>
          <t>WACC</t>
        </is>
      </c>
      <c r="B13" s="5" t="n">
        <v>0.09420000000000001</v>
      </c>
      <c r="C13" s="3" t="inlineStr"/>
    </row>
    <row r="14">
      <c r="A14" s="3" t="inlineStr">
        <is>
          <t>永续增长 Terminal growth</t>
        </is>
      </c>
      <c r="B14" s="5" t="n">
        <v>0.0208</v>
      </c>
      <c r="C14" s="3" t="inlineStr"/>
    </row>
    <row r="15">
      <c r="A15" s="3" t="inlineStr">
        <is>
          <t>股本 Shares</t>
        </is>
      </c>
      <c r="B15" s="6" t="n">
        <v>2305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5655.91</v>
      </c>
      <c r="C16" s="3" t="inlineStr"/>
    </row>
    <row r="17">
      <c r="A17" s="3" t="inlineStr">
        <is>
          <t>期初固定资产原值</t>
        </is>
      </c>
      <c r="B17" s="4" t="n">
        <v>12184.25</v>
      </c>
      <c r="C17" s="3" t="inlineStr"/>
    </row>
    <row r="18">
      <c r="A18" s="3" t="inlineStr">
        <is>
          <t>期初累计折旧</t>
        </is>
      </c>
      <c r="B18" s="4" t="n">
        <v>2503.12</v>
      </c>
      <c r="C18" s="3" t="inlineStr"/>
    </row>
    <row r="19">
      <c r="A19" s="3" t="inlineStr">
        <is>
          <t>期初有息负债</t>
        </is>
      </c>
      <c r="B19" s="4" t="n">
        <v>4998.22</v>
      </c>
      <c r="C19" s="3" t="inlineStr"/>
    </row>
    <row r="20">
      <c r="A20" s="3" t="inlineStr">
        <is>
          <t>残值率 Salvage %</t>
        </is>
      </c>
      <c r="B20" s="5" t="n">
        <v>0.1248</v>
      </c>
      <c r="C20" s="3" t="inlineStr"/>
    </row>
    <row r="21">
      <c r="A21" s="3" t="inlineStr">
        <is>
          <t>毛利率年提升 GM ramp/yr</t>
        </is>
      </c>
      <c r="B21" s="5" t="n">
        <v>0.0186</v>
      </c>
      <c r="C21" s="3" t="inlineStr"/>
    </row>
    <row r="22">
      <c r="A22" s="3" t="inlineStr">
        <is>
          <t>固定费用 Fixed opex</t>
        </is>
      </c>
      <c r="B22" s="4" t="n">
        <v>1296.87</v>
      </c>
      <c r="C22" s="3" t="inlineStr"/>
    </row>
    <row r="23">
      <c r="A23" s="3" t="inlineStr">
        <is>
          <t>退出倍数 Exit EV/EBIT</t>
        </is>
      </c>
      <c r="B23" s="3" t="n">
        <v>11.45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0.2839</v>
      </c>
    </row>
    <row r="25">
      <c r="A25" s="3" t="inlineStr">
        <is>
          <t>收入增速 2026 Growth</t>
        </is>
      </c>
      <c r="B25" s="5" t="n">
        <v>0.2598</v>
      </c>
    </row>
    <row r="26">
      <c r="A26" s="3" t="inlineStr">
        <is>
          <t>收入增速 2027 Growth</t>
        </is>
      </c>
      <c r="B26" s="5" t="n">
        <v>0.2084</v>
      </c>
    </row>
    <row r="27">
      <c r="A27" s="3" t="inlineStr">
        <is>
          <t>收入增速 2028 Growth</t>
        </is>
      </c>
      <c r="B27" s="5" t="n">
        <v>0.262</v>
      </c>
    </row>
    <row r="28">
      <c r="A28" s="3" t="inlineStr">
        <is>
          <t>收入增速 2029 Growth</t>
        </is>
      </c>
      <c r="B28" s="5" t="n">
        <v>0.2502</v>
      </c>
    </row>
    <row r="29">
      <c r="A29" s="3" t="inlineStr">
        <is>
          <t>还本 2025 Debt repayment</t>
        </is>
      </c>
      <c r="B29" s="4" t="n">
        <v>777.37</v>
      </c>
    </row>
    <row r="30">
      <c r="A30" s="3" t="inlineStr">
        <is>
          <t>还本 2026 Debt repayment</t>
        </is>
      </c>
      <c r="B30" s="4" t="n">
        <v>430.82</v>
      </c>
    </row>
    <row r="31">
      <c r="A31" s="3" t="inlineStr">
        <is>
          <t>还本 2027 Debt repayment</t>
        </is>
      </c>
      <c r="B31" s="4" t="n">
        <v>858.99</v>
      </c>
    </row>
    <row r="32">
      <c r="A32" s="3" t="inlineStr">
        <is>
          <t>还本 2028 Debt repayment</t>
        </is>
      </c>
      <c r="B32" s="4" t="n">
        <v>867.15</v>
      </c>
    </row>
    <row r="33">
      <c r="A33" s="3" t="inlineStr">
        <is>
          <t>还本 2029 Debt repayment</t>
        </is>
      </c>
      <c r="B33" s="4" t="n">
        <v>903.26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13429.95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12184.25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2503.12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C3*(1-Assumptions!B4)</f>
        <v/>
      </c>
      <c r="D4">
        <f>D3*(1-(Assumptions!B4+Assumptions!B21))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C10*Assumptions!B6</f>
        <v/>
      </c>
      <c r="D11">
        <f>D10*Assumptions!B6</f>
        <v/>
      </c>
      <c r="E11">
        <f>E10*Assumptions!B6</f>
        <v/>
      </c>
      <c r="F11">
        <f>F10*Assumptions!B6</f>
        <v/>
      </c>
      <c r="G11">
        <f>G10*Assumptions!B6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4998.22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2170.87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1353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1026.42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IncomeStatement!C7</f>
        <v/>
      </c>
      <c r="D4">
        <f>IncomeStatement!D7</f>
        <v/>
      </c>
      <c r="E4">
        <f>IncomeStatement!E7</f>
        <v/>
      </c>
      <c r="F4">
        <f>IncomeStatement!F7</f>
        <v/>
      </c>
      <c r="G4">
        <f>IncomeStatement!G7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SUM(C3:C5)</f>
        <v/>
      </c>
      <c r="D6">
        <f>SUM(D3:D5)</f>
        <v/>
      </c>
      <c r="E6">
        <f>SUM(E3:E5)</f>
        <v/>
      </c>
      <c r="F6">
        <f>SUM(F3:F5)</f>
        <v/>
      </c>
      <c r="G6">
        <f>SUM(G3:G5)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5655.91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5655.91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2170.87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1353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9681.130000000001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  <c r="F7">
        <f>SUM(F3:F6)</f>
        <v/>
      </c>
      <c r="G7">
        <f>SUM(G3:G6)</f>
        <v/>
      </c>
    </row>
    <row r="8">
      <c r="A8" s="7" t="inlineStr">
        <is>
          <t>应付 AP</t>
        </is>
      </c>
      <c r="B8" s="4" t="n">
        <v>1026.42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4998.22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12836.27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7391.11</v>
      </c>
      <c r="C3" s="3" t="inlineStr">
        <is>
          <t>old</t>
        </is>
      </c>
    </row>
    <row r="4">
      <c r="A4" s="3" t="inlineStr">
        <is>
          <t>调整</t>
        </is>
      </c>
      <c r="B4" s="4" t="n">
        <v>39522.43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74429.96000000001</v>
      </c>
      <c r="C5" s="3" t="inlineStr">
        <is>
          <t>废弃</t>
        </is>
      </c>
    </row>
    <row r="6">
      <c r="A6" s="3" t="inlineStr">
        <is>
          <t>TBD</t>
        </is>
      </c>
      <c r="B6" s="4" t="n">
        <v>40794.97</v>
      </c>
      <c r="C6" s="3" t="inlineStr">
        <is>
          <t>old</t>
        </is>
      </c>
    </row>
    <row r="7">
      <c r="A7" s="3" t="inlineStr">
        <is>
          <t>Misc</t>
        </is>
      </c>
      <c r="B7" s="4" t="n">
        <v>22747.81</v>
      </c>
      <c r="C7" s="3" t="inlineStr">
        <is>
          <t>old</t>
        </is>
      </c>
    </row>
    <row r="8">
      <c r="A8" s="3" t="inlineStr">
        <is>
          <t>TBD</t>
        </is>
      </c>
      <c r="B8" s="4" t="n">
        <v>53240.35</v>
      </c>
      <c r="C8" s="3" t="inlineStr">
        <is>
          <t>old</t>
        </is>
      </c>
    </row>
    <row r="9">
      <c r="A9" s="3" t="inlineStr">
        <is>
          <t>TBD</t>
        </is>
      </c>
      <c r="B9" s="4" t="n">
        <v>75500.39999999999</v>
      </c>
      <c r="C9" s="3" t="inlineStr">
        <is>
          <t>check later</t>
        </is>
      </c>
    </row>
    <row r="10">
      <c r="A10" s="3" t="inlineStr">
        <is>
          <t>TBD</t>
        </is>
      </c>
      <c r="B10" s="4" t="n">
        <v>5302.79</v>
      </c>
      <c r="C10" s="3" t="inlineStr"/>
    </row>
    <row r="11">
      <c r="A11" s="3" t="inlineStr">
        <is>
          <t>Misc</t>
        </is>
      </c>
      <c r="B11" s="4" t="n">
        <v>85022.44</v>
      </c>
      <c r="C11" s="3" t="inlineStr">
        <is>
          <t>old</t>
        </is>
      </c>
    </row>
    <row r="12">
      <c r="A12" s="3" t="inlineStr">
        <is>
          <t>调整</t>
        </is>
      </c>
      <c r="B12" s="4" t="n">
        <v>7445.35</v>
      </c>
      <c r="C12" s="3" t="inlineStr">
        <is>
          <t>废弃</t>
        </is>
      </c>
    </row>
    <row r="13">
      <c r="A13" s="3" t="inlineStr">
        <is>
          <t>调整</t>
        </is>
      </c>
      <c r="B13" s="4" t="n">
        <v>37968.37</v>
      </c>
      <c r="C13" s="3" t="inlineStr">
        <is>
          <t>old</t>
        </is>
      </c>
    </row>
    <row r="14">
      <c r="A14" s="3" t="inlineStr">
        <is>
          <t>预留</t>
        </is>
      </c>
      <c r="B14" s="4" t="n">
        <v>29016.55</v>
      </c>
      <c r="C14" s="3" t="inlineStr">
        <is>
          <t>old</t>
        </is>
      </c>
    </row>
    <row r="15">
      <c r="A15" s="3" t="inlineStr">
        <is>
          <t>预留</t>
        </is>
      </c>
      <c r="B15" s="4" t="n">
        <v>20652.34</v>
      </c>
      <c r="C15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43693.92</v>
      </c>
      <c r="C3" s="3" t="inlineStr">
        <is>
          <t>old</t>
        </is>
      </c>
    </row>
    <row r="4">
      <c r="A4" s="3" t="inlineStr">
        <is>
          <t>杂项</t>
        </is>
      </c>
      <c r="B4" s="4" t="n">
        <v>8177.85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14367.73</v>
      </c>
      <c r="C5" s="3" t="inlineStr"/>
    </row>
    <row r="6">
      <c r="A6" s="3" t="inlineStr">
        <is>
          <t>预留</t>
        </is>
      </c>
      <c r="B6" s="4" t="n">
        <v>1385.29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24743.88</v>
      </c>
      <c r="C7" s="3" t="inlineStr">
        <is>
          <t>废弃</t>
        </is>
      </c>
    </row>
    <row r="8">
      <c r="A8" s="3" t="inlineStr">
        <is>
          <t>Misc</t>
        </is>
      </c>
      <c r="B8" s="4" t="n">
        <v>67104.96000000001</v>
      </c>
      <c r="C8" s="3" t="inlineStr">
        <is>
          <t>废弃</t>
        </is>
      </c>
    </row>
    <row r="9">
      <c r="A9" s="3" t="inlineStr">
        <is>
          <t>预留</t>
        </is>
      </c>
      <c r="B9" s="4" t="n">
        <v>62052.79</v>
      </c>
      <c r="C9" s="3" t="inlineStr">
        <is>
          <t>old</t>
        </is>
      </c>
    </row>
    <row r="10">
      <c r="A10" s="3" t="inlineStr">
        <is>
          <t>杂项</t>
        </is>
      </c>
      <c r="B10" s="4" t="n">
        <v>42408.09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76003.36</v>
      </c>
      <c r="C11" s="3" t="inlineStr">
        <is>
          <t>old</t>
        </is>
      </c>
    </row>
    <row r="12">
      <c r="A12" s="3" t="inlineStr">
        <is>
          <t>调整</t>
        </is>
      </c>
      <c r="B12" s="4" t="n">
        <v>9266.18</v>
      </c>
      <c r="C12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13404.06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37176.42</v>
      </c>
      <c r="C4" s="3" t="inlineStr">
        <is>
          <t>old</t>
        </is>
      </c>
    </row>
    <row r="5">
      <c r="A5" s="3" t="inlineStr">
        <is>
          <t>Misc</t>
        </is>
      </c>
      <c r="B5" s="4" t="n">
        <v>63470.77</v>
      </c>
      <c r="C5" s="3" t="inlineStr">
        <is>
          <t>old</t>
        </is>
      </c>
    </row>
    <row r="6">
      <c r="A6" s="3" t="inlineStr">
        <is>
          <t>预留</t>
        </is>
      </c>
      <c r="B6" s="4" t="n">
        <v>86409.47</v>
      </c>
      <c r="C6" s="3" t="inlineStr"/>
    </row>
    <row r="7">
      <c r="A7" s="3" t="inlineStr">
        <is>
          <t>Misc</t>
        </is>
      </c>
      <c r="B7" s="4" t="n">
        <v>11015.86</v>
      </c>
      <c r="C7" s="3" t="inlineStr">
        <is>
          <t>old</t>
        </is>
      </c>
    </row>
    <row r="8">
      <c r="A8" s="3" t="inlineStr">
        <is>
          <t>调整</t>
        </is>
      </c>
      <c r="B8" s="4" t="n">
        <v>62396.8</v>
      </c>
      <c r="C8" s="3" t="inlineStr">
        <is>
          <t>old</t>
        </is>
      </c>
    </row>
    <row r="9">
      <c r="A9" s="3" t="inlineStr">
        <is>
          <t>预留</t>
        </is>
      </c>
      <c r="B9" s="4" t="n">
        <v>78152.14999999999</v>
      </c>
      <c r="C9" s="3" t="inlineStr"/>
    </row>
    <row r="10">
      <c r="A10" s="3" t="inlineStr">
        <is>
          <t>预留</t>
        </is>
      </c>
      <c r="B10" s="4" t="n">
        <v>60557.77</v>
      </c>
      <c r="C10" s="3" t="inlineStr">
        <is>
          <t>old</t>
        </is>
      </c>
    </row>
    <row r="11">
      <c r="A11" s="3" t="inlineStr">
        <is>
          <t>预留</t>
        </is>
      </c>
      <c r="B11" s="4" t="n">
        <v>41158.76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66928.11</v>
      </c>
      <c r="C12" s="3" t="inlineStr"/>
    </row>
    <row r="13">
      <c r="A13" s="3" t="inlineStr">
        <is>
          <t>调整</t>
        </is>
      </c>
      <c r="B13" s="4" t="n">
        <v>49364.89</v>
      </c>
      <c r="C13" s="3" t="inlineStr">
        <is>
          <t>废弃</t>
        </is>
      </c>
    </row>
    <row r="14">
      <c r="A14" s="3" t="inlineStr">
        <is>
          <t>Misc</t>
        </is>
      </c>
      <c r="B14" s="4" t="n">
        <v>61657.57</v>
      </c>
      <c r="C14" s="3" t="inlineStr">
        <is>
          <t>old</t>
        </is>
      </c>
    </row>
    <row r="15">
      <c r="A15" s="3" t="inlineStr">
        <is>
          <t>杂项</t>
        </is>
      </c>
      <c r="B15" s="4" t="n">
        <v>24211.39</v>
      </c>
      <c r="C15" s="3" t="inlineStr">
        <is>
          <t>check later</t>
        </is>
      </c>
    </row>
    <row r="16">
      <c r="A16" s="3" t="inlineStr">
        <is>
          <t>TBD</t>
        </is>
      </c>
      <c r="B16" s="4" t="n">
        <v>14430.85</v>
      </c>
      <c r="C16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2026-07-23T23:21:44Z</dcterms:created>
  <dcterms:modified xsi:type="dcterms:W3CDTF">2026-07-24T04:09:55Z</dcterms:modified>
</cp:coreProperties>
</file>