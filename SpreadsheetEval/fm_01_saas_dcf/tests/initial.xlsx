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Archive_2019" sheetId="11" state="visible" r:id="rId11"/>
    <sheet name="Notes_DoNotU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能源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37068.1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0.6895</v>
      </c>
      <c r="C4" s="3" t="inlineStr"/>
    </row>
    <row r="5">
      <c r="A5" s="3" t="inlineStr">
        <is>
          <t>费用率 Opex %</t>
        </is>
      </c>
      <c r="B5" s="5" t="n">
        <v>0.208</v>
      </c>
      <c r="C5" s="3" t="inlineStr"/>
    </row>
    <row r="6">
      <c r="A6" s="3" t="inlineStr">
        <is>
          <t>所得税率 Tax rate</t>
        </is>
      </c>
      <c r="B6" s="5" t="n">
        <v>0.2675</v>
      </c>
      <c r="C6" s="3" t="inlineStr"/>
    </row>
    <row r="7">
      <c r="A7" s="3" t="inlineStr">
        <is>
          <t>资本开支率 Capex %</t>
        </is>
      </c>
      <c r="B7" s="5" t="n">
        <v>0.073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39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46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42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0.0481</v>
      </c>
      <c r="C12" s="3" t="inlineStr"/>
    </row>
    <row r="13">
      <c r="A13" s="3" t="inlineStr">
        <is>
          <t>WACC</t>
        </is>
      </c>
      <c r="B13" s="5" t="n">
        <v>0.1123</v>
      </c>
      <c r="C13" s="3" t="inlineStr"/>
    </row>
    <row r="14">
      <c r="A14" s="3" t="inlineStr">
        <is>
          <t>永续增长 Terminal growth</t>
        </is>
      </c>
      <c r="B14" s="5" t="n">
        <v>0.0281</v>
      </c>
      <c r="C14" s="3" t="inlineStr"/>
    </row>
    <row r="15">
      <c r="A15" s="3" t="inlineStr">
        <is>
          <t>股本 Shares</t>
        </is>
      </c>
      <c r="B15" s="6" t="n">
        <v>2369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4830.09</v>
      </c>
      <c r="C16" s="3" t="inlineStr"/>
    </row>
    <row r="17">
      <c r="A17" s="3" t="inlineStr">
        <is>
          <t>期初固定资产原值</t>
        </is>
      </c>
      <c r="B17" s="4" t="n">
        <v>10564.4</v>
      </c>
      <c r="C17" s="3" t="inlineStr"/>
    </row>
    <row r="18">
      <c r="A18" s="3" t="inlineStr">
        <is>
          <t>期初累计折旧</t>
        </is>
      </c>
      <c r="B18" s="4" t="n">
        <v>2912.28</v>
      </c>
      <c r="C18" s="3" t="inlineStr"/>
    </row>
    <row r="19">
      <c r="A19" s="3" t="inlineStr">
        <is>
          <t>期初有息负债</t>
        </is>
      </c>
      <c r="B19" s="4" t="n">
        <v>6635.05</v>
      </c>
      <c r="C19" s="3" t="inlineStr"/>
    </row>
    <row r="20">
      <c r="A20" s="3" t="inlineStr">
        <is>
          <t>残值率 Salvage %</t>
        </is>
      </c>
      <c r="B20" s="5" t="n">
        <v>0.1244</v>
      </c>
      <c r="C20" s="3" t="inlineStr"/>
    </row>
    <row r="21">
      <c r="A21" s="3" t="inlineStr">
        <is>
          <t>毛利率年提升 GM ramp/yr</t>
        </is>
      </c>
      <c r="B21" s="5" t="n">
        <v>0.0184</v>
      </c>
      <c r="C21" s="3" t="inlineStr"/>
    </row>
    <row r="22">
      <c r="A22" s="3" t="inlineStr">
        <is>
          <t>固定费用 Fixed opex</t>
        </is>
      </c>
      <c r="B22" s="4" t="n">
        <v>2243.66</v>
      </c>
      <c r="C22" s="3" t="inlineStr"/>
    </row>
    <row r="23">
      <c r="A23" s="3" t="inlineStr">
        <is>
          <t>退出倍数 Exit EV/EBIT</t>
        </is>
      </c>
      <c r="B23" s="3" t="n">
        <v>7.3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0.244</v>
      </c>
    </row>
    <row r="25">
      <c r="A25" s="3" t="inlineStr">
        <is>
          <t>收入增速 2025 Growth</t>
        </is>
      </c>
      <c r="B25" s="5" t="n">
        <v>0.2025</v>
      </c>
    </row>
    <row r="26">
      <c r="A26" s="3" t="inlineStr">
        <is>
          <t>收入增速 2026 Growth</t>
        </is>
      </c>
      <c r="B26" s="5" t="n">
        <v>0.1312</v>
      </c>
    </row>
    <row r="27">
      <c r="A27" s="3" t="inlineStr">
        <is>
          <t>收入增速 2027 Growth</t>
        </is>
      </c>
      <c r="B27" s="5" t="n">
        <v>0.2358</v>
      </c>
    </row>
    <row r="28">
      <c r="A28" s="3" t="inlineStr">
        <is>
          <t>收入增速 2028 Growth</t>
        </is>
      </c>
      <c r="B28" s="5" t="n">
        <v>0.2585</v>
      </c>
    </row>
    <row r="29">
      <c r="A29" s="3" t="inlineStr">
        <is>
          <t>还本 2024 Debt repayment</t>
        </is>
      </c>
      <c r="B29" s="4" t="n">
        <v>487.44</v>
      </c>
    </row>
    <row r="30">
      <c r="A30" s="3" t="inlineStr">
        <is>
          <t>还本 2025 Debt repayment</t>
        </is>
      </c>
      <c r="B30" s="4" t="n">
        <v>687.14</v>
      </c>
    </row>
    <row r="31">
      <c r="A31" s="3" t="inlineStr">
        <is>
          <t>还本 2026 Debt repayment</t>
        </is>
      </c>
      <c r="B31" s="4" t="n">
        <v>573.86</v>
      </c>
    </row>
    <row r="32">
      <c r="A32" s="3" t="inlineStr">
        <is>
          <t>还本 2027 Debt repayment</t>
        </is>
      </c>
      <c r="B32" s="4" t="n">
        <v>399.72</v>
      </c>
    </row>
    <row r="33">
      <c r="A33" s="3" t="inlineStr">
        <is>
          <t>还本 2028 Debt repayment</t>
        </is>
      </c>
      <c r="B33" s="4" t="n">
        <v>1041.05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37068.1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10564.4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2912.28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6635.05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3960.7</v>
      </c>
      <c r="C3">
        <f>IncomeStatement!C3*Assumptions!B9/365</f>
        <v/>
      </c>
      <c r="D3">
        <f>IncomeStatement!D3*Assumptions!B9/365</f>
        <v/>
      </c>
      <c r="E3">
        <f>IncomeStatement!E3*Assumptions!B9/365</f>
        <v/>
      </c>
      <c r="F3">
        <f>IncomeStatement!F3*Assumptions!B9/365</f>
        <v/>
      </c>
      <c r="G3">
        <f>IncomeStatement!G3*Assumptions!B9/365</f>
        <v/>
      </c>
    </row>
    <row r="4">
      <c r="A4" s="7" t="inlineStr">
        <is>
          <t>存货 Inventory</t>
        </is>
      </c>
      <c r="B4" s="4" t="n">
        <v>1450.53</v>
      </c>
      <c r="C4">
        <f>IncomeStatement!C4*Assumptions!B10/365</f>
        <v/>
      </c>
      <c r="D4">
        <f>IncomeStatement!D4*Assumptions!B10/365</f>
        <v/>
      </c>
      <c r="E4">
        <f>IncomeStatement!E4*Assumptions!B10/365</f>
        <v/>
      </c>
      <c r="F4">
        <f>IncomeStatement!F4*Assumptions!B10/365</f>
        <v/>
      </c>
      <c r="G4">
        <f>IncomeStatement!G4*Assumptions!B10/365</f>
        <v/>
      </c>
    </row>
    <row r="5">
      <c r="A5" s="7" t="inlineStr">
        <is>
          <t>应付账款 AP</t>
        </is>
      </c>
      <c r="B5" s="4" t="n">
        <v>1324.4</v>
      </c>
      <c r="C5">
        <f>IncomeStatement!C4*Assumptions!B11/365</f>
        <v/>
      </c>
      <c r="D5">
        <f>IncomeStatement!D4*Assumptions!B11/365</f>
        <v/>
      </c>
      <c r="E5">
        <f>IncomeStatement!E4*Assumptions!B11/365</f>
        <v/>
      </c>
      <c r="F5">
        <f>IncomeStatement!F4*Assumptions!B11/365</f>
        <v/>
      </c>
      <c r="G5">
        <f>IncomeStatement!G4*Assumptions!B11/365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4830.09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4830.09</v>
      </c>
    </row>
    <row r="4">
      <c r="A4" s="7" t="inlineStr">
        <is>
          <t>应收 AR</t>
        </is>
      </c>
      <c r="B4" s="4" t="n">
        <v>3960.7</v>
      </c>
    </row>
    <row r="5">
      <c r="A5" s="7" t="inlineStr">
        <is>
          <t>存货 Inventory</t>
        </is>
      </c>
      <c r="B5" s="4" t="n">
        <v>1450.53</v>
      </c>
    </row>
    <row r="6">
      <c r="A6" s="7" t="inlineStr">
        <is>
          <t>净固定资产 Net PP&amp;E</t>
        </is>
      </c>
      <c r="B6" s="4" t="n">
        <v>7652.119999999999</v>
      </c>
    </row>
    <row r="7">
      <c r="A7" s="7" t="inlineStr">
        <is>
          <t>资产合计 Total assets</t>
        </is>
      </c>
    </row>
    <row r="8">
      <c r="A8" s="7" t="inlineStr">
        <is>
          <t>应付 AP</t>
        </is>
      </c>
      <c r="B8" s="4" t="n">
        <v>1324.4</v>
      </c>
    </row>
    <row r="9">
      <c r="A9" s="7" t="inlineStr">
        <is>
          <t>有息负债 Debt</t>
        </is>
      </c>
      <c r="B9" s="4" t="n">
        <v>6635.05</v>
      </c>
    </row>
    <row r="10">
      <c r="A10" s="7" t="inlineStr">
        <is>
          <t>负债合计 Total liab</t>
        </is>
      </c>
    </row>
    <row r="11">
      <c r="A11" s="7" t="inlineStr">
        <is>
          <t>所有者权益 Equity</t>
        </is>
      </c>
      <c r="B11" s="4" t="n">
        <v>9933.99</v>
      </c>
    </row>
    <row r="12">
      <c r="A12" s="7" t="inlineStr">
        <is>
          <t>负债+权益 Total L&amp;E</t>
        </is>
      </c>
    </row>
    <row r="13">
      <c r="A13" s="7" t="inlineStr">
        <is>
          <t>平衡校验 Check(=0)</t>
        </is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</row>
    <row r="4">
      <c r="A4" s="7" t="inlineStr">
        <is>
          <t>NOPAT=EBIT×(1-tax)</t>
        </is>
      </c>
    </row>
    <row r="5">
      <c r="A5" s="7" t="inlineStr">
        <is>
          <t>加:D&amp;A</t>
        </is>
      </c>
    </row>
    <row r="6">
      <c r="A6" s="7" t="inlineStr">
        <is>
          <t>减:Capex</t>
        </is>
      </c>
    </row>
    <row r="7">
      <c r="A7" s="7" t="inlineStr">
        <is>
          <t>减:ΔNWC</t>
        </is>
      </c>
    </row>
    <row r="8">
      <c r="A8" s="7" t="inlineStr">
        <is>
          <t>无杠杆自由现金流 FCFF</t>
        </is>
      </c>
    </row>
    <row r="9">
      <c r="A9" s="7" t="inlineStr">
        <is>
          <t>折现因子 DF</t>
        </is>
      </c>
    </row>
    <row r="10">
      <c r="A10" s="7" t="inlineStr">
        <is>
          <t>FCF现值 PV</t>
        </is>
      </c>
    </row>
    <row r="12">
      <c r="A12" s="7" t="inlineStr">
        <is>
          <t>预测期PV合计 Σ PV(FCF)</t>
        </is>
      </c>
    </row>
    <row r="13">
      <c r="A13" s="7" t="inlineStr">
        <is>
          <t>终值 Terminal value</t>
        </is>
      </c>
    </row>
    <row r="14">
      <c r="A14" s="7" t="inlineStr">
        <is>
          <t>终值现值 PV(TV)</t>
        </is>
      </c>
    </row>
    <row r="15">
      <c r="A15" s="7" t="inlineStr">
        <is>
          <t>企业价值 Enterprise value</t>
        </is>
      </c>
    </row>
    <row r="16">
      <c r="A16" s="7" t="inlineStr">
        <is>
          <t>净负债 Net debt</t>
        </is>
      </c>
    </row>
    <row r="17">
      <c r="A17" s="7" t="inlineStr">
        <is>
          <t>股权价值 Equity value</t>
        </is>
      </c>
    </row>
    <row r="18">
      <c r="A18" s="7" t="inlineStr">
        <is>
          <t>每股价值 Value per share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34010.49</v>
      </c>
      <c r="C3" s="3" t="inlineStr">
        <is>
          <t>check later</t>
        </is>
      </c>
    </row>
    <row r="4">
      <c r="A4" s="3" t="inlineStr">
        <is>
          <t>杂项</t>
        </is>
      </c>
      <c r="B4" s="4" t="n">
        <v>24323.82</v>
      </c>
      <c r="C4" s="3" t="inlineStr">
        <is>
          <t>old</t>
        </is>
      </c>
    </row>
    <row r="5">
      <c r="A5" s="3" t="inlineStr">
        <is>
          <t>杂项</t>
        </is>
      </c>
      <c r="B5" s="4" t="n">
        <v>39429.14</v>
      </c>
      <c r="C5" s="3" t="inlineStr">
        <is>
          <t>check later</t>
        </is>
      </c>
    </row>
    <row r="6">
      <c r="A6" s="3" t="inlineStr">
        <is>
          <t>杂项</t>
        </is>
      </c>
      <c r="B6" s="4" t="n">
        <v>68961.03999999999</v>
      </c>
      <c r="C6" s="3" t="inlineStr">
        <is>
          <t>废弃</t>
        </is>
      </c>
    </row>
    <row r="7">
      <c r="A7" s="3" t="inlineStr">
        <is>
          <t>调整</t>
        </is>
      </c>
      <c r="B7" s="4" t="n">
        <v>80781.00999999999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45362.2</v>
      </c>
      <c r="C8" s="3" t="inlineStr">
        <is>
          <t>check later</t>
        </is>
      </c>
    </row>
    <row r="9">
      <c r="A9" s="3" t="inlineStr">
        <is>
          <t>预留</t>
        </is>
      </c>
      <c r="B9" s="4" t="n">
        <v>62506.15</v>
      </c>
      <c r="C9" s="3" t="inlineStr"/>
    </row>
    <row r="10">
      <c r="A10" s="3" t="inlineStr">
        <is>
          <t>杂项</t>
        </is>
      </c>
      <c r="B10" s="4" t="n">
        <v>6869.42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85202.75999999999</v>
      </c>
      <c r="C11" s="3" t="inlineStr">
        <is>
          <t>废弃</t>
        </is>
      </c>
    </row>
    <row r="12">
      <c r="A12" s="3" t="inlineStr">
        <is>
          <t>杂项</t>
        </is>
      </c>
      <c r="B12" s="4" t="n">
        <v>61148.53</v>
      </c>
      <c r="C12" s="3" t="inlineStr">
        <is>
          <t>废弃</t>
        </is>
      </c>
    </row>
    <row r="13">
      <c r="A13" s="3" t="inlineStr">
        <is>
          <t>预留</t>
        </is>
      </c>
      <c r="B13" s="4" t="n">
        <v>62033.37</v>
      </c>
      <c r="C13" s="3" t="inlineStr">
        <is>
          <t>old</t>
        </is>
      </c>
    </row>
    <row r="14">
      <c r="A14" s="3" t="inlineStr">
        <is>
          <t>TBD</t>
        </is>
      </c>
      <c r="B14" s="4" t="n">
        <v>40736.39</v>
      </c>
      <c r="C14" s="3" t="inlineStr">
        <is>
          <t>old</t>
        </is>
      </c>
    </row>
    <row r="15">
      <c r="A15" s="3" t="inlineStr">
        <is>
          <t>杂项</t>
        </is>
      </c>
      <c r="B15" s="4" t="n">
        <v>86183.99000000001</v>
      </c>
      <c r="C15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6302.48</v>
      </c>
      <c r="C3" s="3" t="inlineStr">
        <is>
          <t>check later</t>
        </is>
      </c>
    </row>
    <row r="4">
      <c r="A4" s="3" t="inlineStr">
        <is>
          <t>Misc</t>
        </is>
      </c>
      <c r="B4" s="4" t="n">
        <v>6116.91</v>
      </c>
      <c r="C4" s="3" t="inlineStr">
        <is>
          <t>check later</t>
        </is>
      </c>
    </row>
    <row r="5">
      <c r="A5" s="3" t="inlineStr">
        <is>
          <t>调整</t>
        </is>
      </c>
      <c r="B5" s="4" t="n">
        <v>9065.98</v>
      </c>
      <c r="C5" s="3" t="inlineStr">
        <is>
          <t>old</t>
        </is>
      </c>
    </row>
    <row r="6">
      <c r="A6" s="3" t="inlineStr">
        <is>
          <t>调整</t>
        </is>
      </c>
      <c r="B6" s="4" t="n">
        <v>42484.67</v>
      </c>
      <c r="C6" s="3" t="inlineStr">
        <is>
          <t>废弃</t>
        </is>
      </c>
    </row>
    <row r="7">
      <c r="A7" s="3" t="inlineStr">
        <is>
          <t>杂项</t>
        </is>
      </c>
      <c r="B7" s="4" t="n">
        <v>47670.71</v>
      </c>
      <c r="C7" s="3" t="inlineStr">
        <is>
          <t>check later</t>
        </is>
      </c>
    </row>
    <row r="8">
      <c r="A8" s="3" t="inlineStr">
        <is>
          <t>预留</t>
        </is>
      </c>
      <c r="B8" s="4" t="n">
        <v>9510.620000000001</v>
      </c>
      <c r="C8" s="3" t="inlineStr">
        <is>
          <t>old</t>
        </is>
      </c>
    </row>
    <row r="9">
      <c r="A9" s="3" t="inlineStr">
        <is>
          <t>杂项</t>
        </is>
      </c>
      <c r="B9" s="4" t="n">
        <v>2258.86</v>
      </c>
      <c r="C9" s="3" t="inlineStr">
        <is>
          <t>废弃</t>
        </is>
      </c>
    </row>
    <row r="10">
      <c r="A10" s="3" t="inlineStr">
        <is>
          <t>TBD</t>
        </is>
      </c>
      <c r="B10" s="4" t="n">
        <v>41834.96</v>
      </c>
      <c r="C10" s="3" t="inlineStr"/>
    </row>
    <row r="11">
      <c r="A11" s="3" t="inlineStr">
        <is>
          <t>调整</t>
        </is>
      </c>
      <c r="B11" s="4" t="n">
        <v>22228.55</v>
      </c>
      <c r="C11" s="3" t="inlineStr">
        <is>
          <t>check later</t>
        </is>
      </c>
    </row>
    <row r="12">
      <c r="A12" s="3" t="inlineStr">
        <is>
          <t>Misc</t>
        </is>
      </c>
      <c r="B12" s="4" t="n">
        <v>59776.32</v>
      </c>
      <c r="C12" s="3" t="inlineStr">
        <is>
          <t>check later</t>
        </is>
      </c>
    </row>
    <row r="13">
      <c r="A13" s="3" t="inlineStr">
        <is>
          <t>调整</t>
        </is>
      </c>
      <c r="B13" s="4" t="n">
        <v>2648.42</v>
      </c>
      <c r="C13" s="3" t="inlineStr">
        <is>
          <t>old</t>
        </is>
      </c>
    </row>
    <row r="14">
      <c r="A14" s="3" t="inlineStr">
        <is>
          <t>调整</t>
        </is>
      </c>
      <c r="B14" s="4" t="n">
        <v>31753.45</v>
      </c>
      <c r="C14" s="3" t="inlineStr">
        <is>
          <t>check later</t>
        </is>
      </c>
    </row>
    <row r="15">
      <c r="A15" s="3" t="inlineStr">
        <is>
          <t>Misc</t>
        </is>
      </c>
      <c r="B15" s="4" t="n">
        <v>36670.91</v>
      </c>
      <c r="C15" s="3" t="inlineStr"/>
    </row>
    <row r="16">
      <c r="A16" s="3" t="inlineStr">
        <is>
          <t>预留</t>
        </is>
      </c>
      <c r="B16" s="4" t="n">
        <v>46955.46</v>
      </c>
      <c r="C16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13980.99</v>
      </c>
      <c r="C3" s="3" t="inlineStr"/>
    </row>
    <row r="4">
      <c r="A4" s="3" t="inlineStr">
        <is>
          <t>调整</t>
        </is>
      </c>
      <c r="B4" s="4" t="n">
        <v>3116.58</v>
      </c>
      <c r="C4" s="3" t="inlineStr">
        <is>
          <t>old</t>
        </is>
      </c>
    </row>
    <row r="5">
      <c r="A5" s="3" t="inlineStr">
        <is>
          <t>调整</t>
        </is>
      </c>
      <c r="B5" s="4" t="n">
        <v>46671.18</v>
      </c>
      <c r="C5" s="3" t="inlineStr">
        <is>
          <t>old</t>
        </is>
      </c>
    </row>
    <row r="6">
      <c r="A6" s="3" t="inlineStr">
        <is>
          <t>预留</t>
        </is>
      </c>
      <c r="B6" s="4" t="n">
        <v>41796.72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61155.39</v>
      </c>
      <c r="C7" s="3" t="inlineStr">
        <is>
          <t>check later</t>
        </is>
      </c>
    </row>
    <row r="8">
      <c r="A8" s="3" t="inlineStr">
        <is>
          <t>预留</t>
        </is>
      </c>
      <c r="B8" s="4" t="n">
        <v>79508.33</v>
      </c>
      <c r="C8" s="3" t="inlineStr">
        <is>
          <t>old</t>
        </is>
      </c>
    </row>
    <row r="9">
      <c r="A9" s="3" t="inlineStr">
        <is>
          <t>Misc</t>
        </is>
      </c>
      <c r="B9" s="4" t="n">
        <v>87700.45</v>
      </c>
      <c r="C9" s="3" t="inlineStr"/>
    </row>
    <row r="10">
      <c r="A10" s="3" t="inlineStr">
        <is>
          <t>预留</t>
        </is>
      </c>
      <c r="B10" s="4" t="n">
        <v>5415.66</v>
      </c>
      <c r="C10" s="3" t="inlineStr">
        <is>
          <t>check later</t>
        </is>
      </c>
    </row>
    <row r="11">
      <c r="A11" s="3" t="inlineStr">
        <is>
          <t>Misc</t>
        </is>
      </c>
      <c r="B11" s="4" t="n">
        <v>40028.08</v>
      </c>
      <c r="C11" s="3" t="inlineStr"/>
    </row>
    <row r="12">
      <c r="A12" s="3" t="inlineStr">
        <is>
          <t>调整</t>
        </is>
      </c>
      <c r="B12" s="4" t="n">
        <v>50194.24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69816.14999999999</v>
      </c>
      <c r="C13" s="3" t="inlineStr">
        <is>
          <t>废弃</t>
        </is>
      </c>
    </row>
    <row r="14">
      <c r="A14" s="3" t="inlineStr">
        <is>
          <t>TBD</t>
        </is>
      </c>
      <c r="B14" s="4" t="n">
        <v>83066.62</v>
      </c>
      <c r="C14" s="3" t="inlineStr"/>
    </row>
    <row r="15">
      <c r="A15" s="3" t="inlineStr">
        <is>
          <t>杂项</t>
        </is>
      </c>
      <c r="B15" s="4" t="n">
        <v>37651.75</v>
      </c>
      <c r="C15" s="3" t="inlineStr">
        <is>
          <t>废弃</t>
        </is>
      </c>
    </row>
    <row r="16">
      <c r="A16" s="3" t="inlineStr">
        <is>
          <t>调整</t>
        </is>
      </c>
      <c r="B16" s="4" t="n">
        <v>69533.87</v>
      </c>
      <c r="C16" s="3" t="inlineStr">
        <is>
          <t>old</t>
        </is>
      </c>
    </row>
    <row r="17">
      <c r="A17" s="3" t="inlineStr">
        <is>
          <t>Misc</t>
        </is>
      </c>
      <c r="B17" s="4" t="n">
        <v>67495.87</v>
      </c>
      <c r="C17" s="3" t="inlineStr"/>
    </row>
    <row r="18">
      <c r="A18" s="3" t="inlineStr">
        <is>
          <t>杂项</t>
        </is>
      </c>
      <c r="B18" s="4" t="n">
        <v>62597.8</v>
      </c>
      <c r="C18" s="3" t="inlineStr">
        <is>
          <t>check later</t>
        </is>
      </c>
    </row>
    <row r="19">
      <c r="A19" s="3" t="inlineStr">
        <is>
          <t>TBD</t>
        </is>
      </c>
      <c r="B19" s="4" t="n">
        <v>57806</v>
      </c>
      <c r="C19" s="3" t="inlineStr"/>
    </row>
    <row r="20">
      <c r="A20" s="3" t="inlineStr">
        <is>
          <t>TBD</t>
        </is>
      </c>
      <c r="B20" s="4" t="n">
        <v>72028.17</v>
      </c>
      <c r="C2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2026-07-23T23:21:01Z</dcterms:created>
  <dcterms:modified xsi:type="dcterms:W3CDTF">2026-07-23T23:21:01Z</dcterms:modified>
</cp:coreProperties>
</file>