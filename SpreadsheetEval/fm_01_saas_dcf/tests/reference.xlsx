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旧版测算_废弃" sheetId="10" state="visible" r:id="rId10"/>
    <sheet name="Archive_2019" sheetId="11" state="visible" r:id="rId11"/>
    <sheet name="Notes_DoNotUs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 outlineLevelCol="0"/>
  <cols>
    <col width="26" customWidth="1" min="1" max="1"/>
  </cols>
  <sheetData>
    <row r="1">
      <c r="A1" s="1" t="inlineStr">
        <is>
          <t>关键假设 Key Assumptions — 能源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37068.1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0.6895</v>
      </c>
      <c r="C4" s="3" t="inlineStr"/>
    </row>
    <row r="5">
      <c r="A5" s="3" t="inlineStr">
        <is>
          <t>费用率 Opex %</t>
        </is>
      </c>
      <c r="B5" s="5" t="n">
        <v>0.208</v>
      </c>
      <c r="C5" s="3" t="inlineStr"/>
    </row>
    <row r="6">
      <c r="A6" s="3" t="inlineStr">
        <is>
          <t>所得税率 Tax rate</t>
        </is>
      </c>
      <c r="B6" s="5" t="n">
        <v>0.2675</v>
      </c>
      <c r="C6" s="3" t="inlineStr"/>
    </row>
    <row r="7">
      <c r="A7" s="3" t="inlineStr">
        <is>
          <t>资本开支率 Capex %</t>
        </is>
      </c>
      <c r="B7" s="5" t="n">
        <v>0.073</v>
      </c>
      <c r="C7" s="3" t="inlineStr"/>
    </row>
    <row r="8">
      <c r="A8" s="3" t="inlineStr">
        <is>
          <t>折旧年限 Dep. years</t>
        </is>
      </c>
      <c r="B8" s="3" t="n">
        <v>7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39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46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42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0.0481</v>
      </c>
      <c r="C12" s="3" t="inlineStr"/>
    </row>
    <row r="13">
      <c r="A13" s="3" t="inlineStr">
        <is>
          <t>WACC</t>
        </is>
      </c>
      <c r="B13" s="5" t="n">
        <v>0.1123</v>
      </c>
      <c r="C13" s="3" t="inlineStr"/>
    </row>
    <row r="14">
      <c r="A14" s="3" t="inlineStr">
        <is>
          <t>永续增长 Terminal growth</t>
        </is>
      </c>
      <c r="B14" s="5" t="n">
        <v>0.0281</v>
      </c>
      <c r="C14" s="3" t="inlineStr"/>
    </row>
    <row r="15">
      <c r="A15" s="3" t="inlineStr">
        <is>
          <t>股本 Shares</t>
        </is>
      </c>
      <c r="B15" s="6" t="n">
        <v>2369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4830.09</v>
      </c>
      <c r="C16" s="3" t="inlineStr"/>
    </row>
    <row r="17">
      <c r="A17" s="3" t="inlineStr">
        <is>
          <t>期初固定资产原值</t>
        </is>
      </c>
      <c r="B17" s="4" t="n">
        <v>10564.4</v>
      </c>
      <c r="C17" s="3" t="inlineStr"/>
    </row>
    <row r="18">
      <c r="A18" s="3" t="inlineStr">
        <is>
          <t>期初累计折旧</t>
        </is>
      </c>
      <c r="B18" s="4" t="n">
        <v>2912.28</v>
      </c>
      <c r="C18" s="3" t="inlineStr"/>
    </row>
    <row r="19">
      <c r="A19" s="3" t="inlineStr">
        <is>
          <t>期初有息负债</t>
        </is>
      </c>
      <c r="B19" s="4" t="n">
        <v>6635.05</v>
      </c>
      <c r="C19" s="3" t="inlineStr"/>
    </row>
    <row r="20">
      <c r="A20" s="3" t="inlineStr">
        <is>
          <t>残值率 Salvage %</t>
        </is>
      </c>
      <c r="B20" s="5" t="n">
        <v>0.1244</v>
      </c>
      <c r="C20" s="3" t="inlineStr"/>
    </row>
    <row r="21">
      <c r="A21" s="3" t="inlineStr">
        <is>
          <t>毛利率年提升 GM ramp/yr</t>
        </is>
      </c>
      <c r="B21" s="5" t="n">
        <v>0.0184</v>
      </c>
      <c r="C21" s="3" t="inlineStr"/>
    </row>
    <row r="22">
      <c r="A22" s="3" t="inlineStr">
        <is>
          <t>固定费用 Fixed opex</t>
        </is>
      </c>
      <c r="B22" s="4" t="n">
        <v>2243.66</v>
      </c>
      <c r="C22" s="3" t="inlineStr"/>
    </row>
    <row r="23">
      <c r="A23" s="3" t="inlineStr">
        <is>
          <t>退出倍数 Exit EV/EBIT</t>
        </is>
      </c>
      <c r="B23" s="3" t="n">
        <v>7.3</v>
      </c>
      <c r="C23" s="3" t="inlineStr">
        <is>
          <t>x</t>
        </is>
      </c>
    </row>
    <row r="24">
      <c r="A24" s="3" t="inlineStr">
        <is>
          <t>收入增速 2024 Growth</t>
        </is>
      </c>
      <c r="B24" s="5" t="n">
        <v>0.244</v>
      </c>
    </row>
    <row r="25">
      <c r="A25" s="3" t="inlineStr">
        <is>
          <t>收入增速 2025 Growth</t>
        </is>
      </c>
      <c r="B25" s="5" t="n">
        <v>0.2025</v>
      </c>
    </row>
    <row r="26">
      <c r="A26" s="3" t="inlineStr">
        <is>
          <t>收入增速 2026 Growth</t>
        </is>
      </c>
      <c r="B26" s="5" t="n">
        <v>0.1312</v>
      </c>
    </row>
    <row r="27">
      <c r="A27" s="3" t="inlineStr">
        <is>
          <t>收入增速 2027 Growth</t>
        </is>
      </c>
      <c r="B27" s="5" t="n">
        <v>0.2358</v>
      </c>
    </row>
    <row r="28">
      <c r="A28" s="3" t="inlineStr">
        <is>
          <t>收入增速 2028 Growth</t>
        </is>
      </c>
      <c r="B28" s="5" t="n">
        <v>0.2585</v>
      </c>
    </row>
    <row r="29">
      <c r="A29" s="3" t="inlineStr">
        <is>
          <t>还本 2024 Debt repayment</t>
        </is>
      </c>
      <c r="B29" s="4" t="n">
        <v>487.44</v>
      </c>
    </row>
    <row r="30">
      <c r="A30" s="3" t="inlineStr">
        <is>
          <t>还本 2025 Debt repayment</t>
        </is>
      </c>
      <c r="B30" s="4" t="n">
        <v>687.14</v>
      </c>
    </row>
    <row r="31">
      <c r="A31" s="3" t="inlineStr">
        <is>
          <t>还本 2026 Debt repayment</t>
        </is>
      </c>
      <c r="B31" s="4" t="n">
        <v>573.86</v>
      </c>
    </row>
    <row r="32">
      <c r="A32" s="3" t="inlineStr">
        <is>
          <t>还本 2027 Debt repayment</t>
        </is>
      </c>
      <c r="B32" s="4" t="n">
        <v>399.72</v>
      </c>
    </row>
    <row r="33">
      <c r="A33" s="3" t="inlineStr">
        <is>
          <t>还本 2028 Debt repayment</t>
        </is>
      </c>
      <c r="B33" s="4" t="n">
        <v>1041.05</v>
      </c>
    </row>
    <row r="35">
      <c r="A35" s="7" t="inlineStr">
        <is>
          <t>★ 会计口径约定 House conventions（务必遵循）</t>
        </is>
      </c>
    </row>
    <row r="36">
      <c r="A36" t="inlineStr">
        <is>
          <t>• 折旧按【期初原值】计提（非期末）：Depreciation = 期初原值 / 折旧年限。</t>
        </is>
      </c>
    </row>
    <row r="37">
      <c r="A37" t="inlineStr">
        <is>
          <t>• 折旧考虑残值：Depreciation = (期初原值 × (1−残值率)) / 折旧年限。</t>
        </is>
      </c>
    </row>
    <row r="38">
      <c r="A38" t="inlineStr">
        <is>
          <t>• 利息按【期初与期末负债的平均】计提：Interest = (期初+期末)/2 × 利率。</t>
        </is>
      </c>
    </row>
    <row r="39">
      <c r="A39" t="inlineStr">
        <is>
          <t>• 期间费用 = 收入 × 费用率 + 固定费用（含一笔固定管理费）。</t>
        </is>
      </c>
    </row>
    <row r="40">
      <c r="A40" t="inlineStr">
        <is>
          <t>• 毛利率逐年提升：第 t 年毛利率 = 基准毛利率 + GM ramp ×(t−1)。</t>
        </is>
      </c>
    </row>
    <row r="41">
      <c r="A41" t="inlineStr">
        <is>
          <t>• 终值采用【退出倍数法】：TV = 末期EBIT × 退出倍数（非永续增长法）。</t>
        </is>
      </c>
    </row>
    <row r="42">
      <c r="A42" t="inlineStr">
        <is>
          <t>• DCF 采用【期中折现】：折现因子 = 1/(1+WACC)^(t−0.5)。</t>
        </is>
      </c>
    </row>
    <row r="43">
      <c r="A43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9:F39"/>
    <mergeCell ref="A43:F43"/>
  </mergeCells>
  <dataValidations count="1">
    <dataValidation sqref="B3:B33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B3" s="4" t="n">
        <v>37068.1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  <c r="G3">
        <f>F3*(1+Assumptions!B28)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Revenue!C3*Assumptions!B7</f>
        <v/>
      </c>
      <c r="D4">
        <f>MAX(Revenue!D3*Assumptions!B7,C6)</f>
        <v/>
      </c>
      <c r="E4">
        <f>MAX(Revenue!E3*Assumptions!B7,D6)</f>
        <v/>
      </c>
      <c r="F4">
        <f>MAX(Revenue!F3*Assumptions!B7,E6)</f>
        <v/>
      </c>
      <c r="G4">
        <f>MAX(Revenue!G3*Assumptions!B7,F6)</f>
        <v/>
      </c>
    </row>
    <row r="5">
      <c r="A5" s="7" t="inlineStr">
        <is>
          <t>期末原值 Gross end</t>
        </is>
      </c>
      <c r="B5" s="4" t="n">
        <v>10564.4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C3*(1-Assumptions!B20)/Assumptions!B8</f>
        <v/>
      </c>
      <c r="D6">
        <f>D3*(1-Assumptions!B20)/Assumptions!B8</f>
        <v/>
      </c>
      <c r="E6">
        <f>E3*(1-Assumptions!B20)/Assumptions!B8</f>
        <v/>
      </c>
      <c r="F6">
        <f>F3*(1-Assumptions!B20)/Assumptions!B8</f>
        <v/>
      </c>
      <c r="G6">
        <f>G3*(1-Assumptions!B20)/Assumptions!B8</f>
        <v/>
      </c>
    </row>
    <row r="7" hidden="1">
      <c r="A7" s="7" t="inlineStr">
        <is>
          <t>累计折旧 Accum. dep</t>
        </is>
      </c>
      <c r="B7" s="4" t="n">
        <v>2912.28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  <c r="G4">
        <f>G3*(1-(Assumptions!B4+Assumptions!B21*4))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C3*Assumptions!B5+Assumptions!B22</f>
        <v/>
      </c>
      <c r="D6">
        <f>D3*Assumptions!B5+Assumptions!B22</f>
        <v/>
      </c>
      <c r="E6">
        <f>E3*Assumptions!B5+Assumptions!B22</f>
        <v/>
      </c>
      <c r="F6">
        <f>F3*Assumptions!B5+Assumptions!B22</f>
        <v/>
      </c>
      <c r="G6">
        <f>G3*Assumptions!B5+Assumptions!B22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(DebtSchedule!C3+DebtSchedule!C5)/2*Assumptions!B12</f>
        <v/>
      </c>
      <c r="D9">
        <f>(DebtSchedule!D3+DebtSchedule!D5)/2*Assumptions!B12</f>
        <v/>
      </c>
      <c r="E9">
        <f>(DebtSchedule!E3+DebtSchedule!E5)/2*Assumptions!B12</f>
        <v/>
      </c>
      <c r="F9">
        <f>(DebtSchedule!F3+DebtSchedule!F5)/2*Assumptions!B12</f>
        <v/>
      </c>
      <c r="G9">
        <f>(DebtSchedule!G3+DebtSchedule!G5)/2*Assumptions!B12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Assumptions!B29</f>
        <v/>
      </c>
      <c r="D4">
        <f>Assumptions!B30</f>
        <v/>
      </c>
      <c r="E4">
        <f>Assumptions!B31</f>
        <v/>
      </c>
      <c r="F4">
        <f>Assumptions!B32</f>
        <v/>
      </c>
      <c r="G4">
        <f>Assumptions!B33</f>
        <v/>
      </c>
    </row>
    <row r="5">
      <c r="A5" s="7" t="inlineStr">
        <is>
          <t>期末负债 Debt end</t>
        </is>
      </c>
      <c r="B5" s="4" t="n">
        <v>6635.05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应收账款 AR</t>
        </is>
      </c>
      <c r="B3" s="4" t="n">
        <v>3960.7</v>
      </c>
      <c r="C3">
        <f>IncomeStatement!C3*Assumptions!B9/365</f>
        <v/>
      </c>
      <c r="D3">
        <f>IncomeStatement!D3*Assumptions!B9/365</f>
        <v/>
      </c>
      <c r="E3">
        <f>IncomeStatement!E3*Assumptions!B9/365</f>
        <v/>
      </c>
      <c r="F3">
        <f>IncomeStatement!F3*Assumptions!B9/365</f>
        <v/>
      </c>
      <c r="G3">
        <f>IncomeStatement!G3*Assumptions!B9/365</f>
        <v/>
      </c>
    </row>
    <row r="4">
      <c r="A4" s="7" t="inlineStr">
        <is>
          <t>存货 Inventory</t>
        </is>
      </c>
      <c r="B4" s="4" t="n">
        <v>1450.53</v>
      </c>
      <c r="C4">
        <f>IncomeStatement!C4*Assumptions!B10/365</f>
        <v/>
      </c>
      <c r="D4">
        <f>IncomeStatement!D4*Assumptions!B10/365</f>
        <v/>
      </c>
      <c r="E4">
        <f>IncomeStatement!E4*Assumptions!B10/365</f>
        <v/>
      </c>
      <c r="F4">
        <f>IncomeStatement!F4*Assumptions!B10/365</f>
        <v/>
      </c>
      <c r="G4">
        <f>IncomeStatement!G4*Assumptions!B10/365</f>
        <v/>
      </c>
    </row>
    <row r="5">
      <c r="A5" s="7" t="inlineStr">
        <is>
          <t>应付账款 AP</t>
        </is>
      </c>
      <c r="B5" s="4" t="n">
        <v>1324.4</v>
      </c>
      <c r="C5">
        <f>IncomeStatement!C4*Assumptions!B11/365</f>
        <v/>
      </c>
      <c r="D5">
        <f>IncomeStatement!D4*Assumptions!B11/365</f>
        <v/>
      </c>
      <c r="E5">
        <f>IncomeStatement!E4*Assumptions!B11/365</f>
        <v/>
      </c>
      <c r="F5">
        <f>IncomeStatement!F4*Assumptions!B11/365</f>
        <v/>
      </c>
      <c r="G5">
        <f>IncomeStatement!G4*Assumptions!B11/365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  <c r="G7">
        <f>G6-F6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  <c r="G3">
        <f>IncomeStatement!G12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  <c r="G4">
        <f>PPE!G6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  <c r="G5">
        <f>-WorkingCapital!G7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  <c r="G6">
        <f>G3+G4+G5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  <c r="G7">
        <f>-PPE!G4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  <c r="G8">
        <f>G7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  <c r="G9">
        <f>-DebtSchedule!G4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  <c r="G10">
        <f>G9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  <c r="G11">
        <f>G6+G8+G10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  <c r="G12">
        <f>F13</f>
        <v/>
      </c>
    </row>
    <row r="13">
      <c r="A13" s="7" t="inlineStr">
        <is>
          <t>期末现金 Cash end</t>
        </is>
      </c>
      <c r="B13" s="4" t="n">
        <v>4830.09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  <c r="G13">
        <f>G12+G11</f>
        <v/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现金 Cash</t>
        </is>
      </c>
      <c r="B3" s="4" t="n">
        <v>4830.09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  <c r="G3">
        <f>CashFlow!G13</f>
        <v/>
      </c>
    </row>
    <row r="4">
      <c r="A4" s="7" t="inlineStr">
        <is>
          <t>应收 AR</t>
        </is>
      </c>
      <c r="B4" s="4" t="n">
        <v>3960.7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  <c r="G4">
        <f>WorkingCapital!G3</f>
        <v/>
      </c>
    </row>
    <row r="5">
      <c r="A5" s="7" t="inlineStr">
        <is>
          <t>存货 Inventory</t>
        </is>
      </c>
      <c r="B5" s="4" t="n">
        <v>1450.53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  <c r="G5">
        <f>WorkingCapital!G4</f>
        <v/>
      </c>
    </row>
    <row r="6">
      <c r="A6" s="7" t="inlineStr">
        <is>
          <t>净固定资产 Net PP&amp;E</t>
        </is>
      </c>
      <c r="B6" s="4" t="n">
        <v>7652.119999999999</v>
      </c>
      <c r="C6">
        <f>PPE!C8</f>
        <v/>
      </c>
      <c r="D6">
        <f>PPE!D8</f>
        <v/>
      </c>
      <c r="E6">
        <f>PPE!E8</f>
        <v/>
      </c>
      <c r="F6">
        <f>PPE!F8</f>
        <v/>
      </c>
      <c r="G6">
        <f>PPE!G8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  <c r="G7">
        <f>G3+G4+G5+G6</f>
        <v/>
      </c>
    </row>
    <row r="8">
      <c r="A8" s="7" t="inlineStr">
        <is>
          <t>应付 AP</t>
        </is>
      </c>
      <c r="B8" s="4" t="n">
        <v>1324.4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  <c r="G8">
        <f>WorkingCapital!G5</f>
        <v/>
      </c>
    </row>
    <row r="9">
      <c r="A9" s="7" t="inlineStr">
        <is>
          <t>有息负债 Debt</t>
        </is>
      </c>
      <c r="B9" s="4" t="n">
        <v>6635.05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  <c r="G9">
        <f>DebtSchedule!G5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</row>
    <row r="11">
      <c r="A11" s="7" t="inlineStr">
        <is>
          <t>所有者权益 Equity</t>
        </is>
      </c>
      <c r="B11" s="4" t="n">
        <v>9933.99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  <c r="G11">
        <f>F11+IncomeStatement!G12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  <c r="G13">
        <f>G7-G12</f>
        <v/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  <c r="G3">
        <f>IncomeStatement!G8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  <c r="G4">
        <f>G3*(1-Assumptions!B6)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  <c r="G5">
        <f>PPE!G6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  <c r="G6">
        <f>-PPE!G4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  <c r="G7">
        <f>-WorkingCapital!G7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  <c r="G8">
        <f>G4+G5+G6+G7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  <c r="G9">
        <f>1/(1+Assumptions!B13)^(5-0.5)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</row>
    <row r="12">
      <c r="A12" s="7" t="inlineStr">
        <is>
          <t>预测期PV合计 Σ PV(FCF)</t>
        </is>
      </c>
      <c r="B12">
        <f>SUM(C10:G10)</f>
        <v/>
      </c>
    </row>
    <row r="13">
      <c r="A13" s="7" t="inlineStr">
        <is>
          <t>终值 Terminal value</t>
        </is>
      </c>
      <c r="B13">
        <f>G3*Assumptions!B23</f>
        <v/>
      </c>
    </row>
    <row r="14">
      <c r="A14" s="7" t="inlineStr">
        <is>
          <t>终值现值 PV(TV)</t>
        </is>
      </c>
      <c r="B14">
        <f>B13*G9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34010.49</v>
      </c>
      <c r="C3" s="3" t="inlineStr">
        <is>
          <t>check later</t>
        </is>
      </c>
    </row>
    <row r="4">
      <c r="A4" s="3" t="inlineStr">
        <is>
          <t>杂项</t>
        </is>
      </c>
      <c r="B4" s="4" t="n">
        <v>24323.82</v>
      </c>
      <c r="C4" s="3" t="inlineStr">
        <is>
          <t>old</t>
        </is>
      </c>
    </row>
    <row r="5">
      <c r="A5" s="3" t="inlineStr">
        <is>
          <t>杂项</t>
        </is>
      </c>
      <c r="B5" s="4" t="n">
        <v>39429.14</v>
      </c>
      <c r="C5" s="3" t="inlineStr">
        <is>
          <t>check later</t>
        </is>
      </c>
    </row>
    <row r="6">
      <c r="A6" s="3" t="inlineStr">
        <is>
          <t>杂项</t>
        </is>
      </c>
      <c r="B6" s="4" t="n">
        <v>68961.03999999999</v>
      </c>
      <c r="C6" s="3" t="inlineStr">
        <is>
          <t>废弃</t>
        </is>
      </c>
    </row>
    <row r="7">
      <c r="A7" s="3" t="inlineStr">
        <is>
          <t>调整</t>
        </is>
      </c>
      <c r="B7" s="4" t="n">
        <v>80781.00999999999</v>
      </c>
      <c r="C7" s="3" t="inlineStr">
        <is>
          <t>废弃</t>
        </is>
      </c>
    </row>
    <row r="8">
      <c r="A8" s="3" t="inlineStr">
        <is>
          <t>预留</t>
        </is>
      </c>
      <c r="B8" s="4" t="n">
        <v>45362.2</v>
      </c>
      <c r="C8" s="3" t="inlineStr">
        <is>
          <t>check later</t>
        </is>
      </c>
    </row>
    <row r="9">
      <c r="A9" s="3" t="inlineStr">
        <is>
          <t>预留</t>
        </is>
      </c>
      <c r="B9" s="4" t="n">
        <v>62506.15</v>
      </c>
      <c r="C9" s="3" t="inlineStr"/>
    </row>
    <row r="10">
      <c r="A10" s="3" t="inlineStr">
        <is>
          <t>杂项</t>
        </is>
      </c>
      <c r="B10" s="4" t="n">
        <v>6869.42</v>
      </c>
      <c r="C10" s="3" t="inlineStr">
        <is>
          <t>check later</t>
        </is>
      </c>
    </row>
    <row r="11">
      <c r="A11" s="3" t="inlineStr">
        <is>
          <t>TBD</t>
        </is>
      </c>
      <c r="B11" s="4" t="n">
        <v>85202.75999999999</v>
      </c>
      <c r="C11" s="3" t="inlineStr">
        <is>
          <t>废弃</t>
        </is>
      </c>
    </row>
    <row r="12">
      <c r="A12" s="3" t="inlineStr">
        <is>
          <t>杂项</t>
        </is>
      </c>
      <c r="B12" s="4" t="n">
        <v>61148.53</v>
      </c>
      <c r="C12" s="3" t="inlineStr">
        <is>
          <t>废弃</t>
        </is>
      </c>
    </row>
    <row r="13">
      <c r="A13" s="3" t="inlineStr">
        <is>
          <t>预留</t>
        </is>
      </c>
      <c r="B13" s="4" t="n">
        <v>62033.37</v>
      </c>
      <c r="C13" s="3" t="inlineStr">
        <is>
          <t>old</t>
        </is>
      </c>
    </row>
    <row r="14">
      <c r="A14" s="3" t="inlineStr">
        <is>
          <t>TBD</t>
        </is>
      </c>
      <c r="B14" s="4" t="n">
        <v>40736.39</v>
      </c>
      <c r="C14" s="3" t="inlineStr">
        <is>
          <t>old</t>
        </is>
      </c>
    </row>
    <row r="15">
      <c r="A15" s="3" t="inlineStr">
        <is>
          <t>杂项</t>
        </is>
      </c>
      <c r="B15" s="4" t="n">
        <v>86183.99000000001</v>
      </c>
      <c r="C15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6302.48</v>
      </c>
      <c r="C3" s="3" t="inlineStr">
        <is>
          <t>check later</t>
        </is>
      </c>
    </row>
    <row r="4">
      <c r="A4" s="3" t="inlineStr">
        <is>
          <t>Misc</t>
        </is>
      </c>
      <c r="B4" s="4" t="n">
        <v>6116.91</v>
      </c>
      <c r="C4" s="3" t="inlineStr">
        <is>
          <t>check later</t>
        </is>
      </c>
    </row>
    <row r="5">
      <c r="A5" s="3" t="inlineStr">
        <is>
          <t>调整</t>
        </is>
      </c>
      <c r="B5" s="4" t="n">
        <v>9065.98</v>
      </c>
      <c r="C5" s="3" t="inlineStr">
        <is>
          <t>old</t>
        </is>
      </c>
    </row>
    <row r="6">
      <c r="A6" s="3" t="inlineStr">
        <is>
          <t>调整</t>
        </is>
      </c>
      <c r="B6" s="4" t="n">
        <v>42484.67</v>
      </c>
      <c r="C6" s="3" t="inlineStr">
        <is>
          <t>废弃</t>
        </is>
      </c>
    </row>
    <row r="7">
      <c r="A7" s="3" t="inlineStr">
        <is>
          <t>杂项</t>
        </is>
      </c>
      <c r="B7" s="4" t="n">
        <v>47670.71</v>
      </c>
      <c r="C7" s="3" t="inlineStr">
        <is>
          <t>check later</t>
        </is>
      </c>
    </row>
    <row r="8">
      <c r="A8" s="3" t="inlineStr">
        <is>
          <t>预留</t>
        </is>
      </c>
      <c r="B8" s="4" t="n">
        <v>9510.620000000001</v>
      </c>
      <c r="C8" s="3" t="inlineStr">
        <is>
          <t>old</t>
        </is>
      </c>
    </row>
    <row r="9">
      <c r="A9" s="3" t="inlineStr">
        <is>
          <t>杂项</t>
        </is>
      </c>
      <c r="B9" s="4" t="n">
        <v>2258.86</v>
      </c>
      <c r="C9" s="3" t="inlineStr">
        <is>
          <t>废弃</t>
        </is>
      </c>
    </row>
    <row r="10">
      <c r="A10" s="3" t="inlineStr">
        <is>
          <t>TBD</t>
        </is>
      </c>
      <c r="B10" s="4" t="n">
        <v>41834.96</v>
      </c>
      <c r="C10" s="3" t="inlineStr"/>
    </row>
    <row r="11">
      <c r="A11" s="3" t="inlineStr">
        <is>
          <t>调整</t>
        </is>
      </c>
      <c r="B11" s="4" t="n">
        <v>22228.55</v>
      </c>
      <c r="C11" s="3" t="inlineStr">
        <is>
          <t>check later</t>
        </is>
      </c>
    </row>
    <row r="12">
      <c r="A12" s="3" t="inlineStr">
        <is>
          <t>Misc</t>
        </is>
      </c>
      <c r="B12" s="4" t="n">
        <v>59776.32</v>
      </c>
      <c r="C12" s="3" t="inlineStr">
        <is>
          <t>check later</t>
        </is>
      </c>
    </row>
    <row r="13">
      <c r="A13" s="3" t="inlineStr">
        <is>
          <t>调整</t>
        </is>
      </c>
      <c r="B13" s="4" t="n">
        <v>2648.42</v>
      </c>
      <c r="C13" s="3" t="inlineStr">
        <is>
          <t>old</t>
        </is>
      </c>
    </row>
    <row r="14">
      <c r="A14" s="3" t="inlineStr">
        <is>
          <t>调整</t>
        </is>
      </c>
      <c r="B14" s="4" t="n">
        <v>31753.45</v>
      </c>
      <c r="C14" s="3" t="inlineStr">
        <is>
          <t>check later</t>
        </is>
      </c>
    </row>
    <row r="15">
      <c r="A15" s="3" t="inlineStr">
        <is>
          <t>Misc</t>
        </is>
      </c>
      <c r="B15" s="4" t="n">
        <v>36670.91</v>
      </c>
      <c r="C15" s="3" t="inlineStr"/>
    </row>
    <row r="16">
      <c r="A16" s="3" t="inlineStr">
        <is>
          <t>预留</t>
        </is>
      </c>
      <c r="B16" s="4" t="n">
        <v>46955.46</v>
      </c>
      <c r="C16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13980.99</v>
      </c>
      <c r="C3" s="3" t="inlineStr"/>
    </row>
    <row r="4">
      <c r="A4" s="3" t="inlineStr">
        <is>
          <t>调整</t>
        </is>
      </c>
      <c r="B4" s="4" t="n">
        <v>3116.58</v>
      </c>
      <c r="C4" s="3" t="inlineStr">
        <is>
          <t>old</t>
        </is>
      </c>
    </row>
    <row r="5">
      <c r="A5" s="3" t="inlineStr">
        <is>
          <t>调整</t>
        </is>
      </c>
      <c r="B5" s="4" t="n">
        <v>46671.18</v>
      </c>
      <c r="C5" s="3" t="inlineStr">
        <is>
          <t>old</t>
        </is>
      </c>
    </row>
    <row r="6">
      <c r="A6" s="3" t="inlineStr">
        <is>
          <t>预留</t>
        </is>
      </c>
      <c r="B6" s="4" t="n">
        <v>41796.72</v>
      </c>
      <c r="C6" s="3" t="inlineStr">
        <is>
          <t>check later</t>
        </is>
      </c>
    </row>
    <row r="7">
      <c r="A7" s="3" t="inlineStr">
        <is>
          <t>调整</t>
        </is>
      </c>
      <c r="B7" s="4" t="n">
        <v>61155.39</v>
      </c>
      <c r="C7" s="3" t="inlineStr">
        <is>
          <t>check later</t>
        </is>
      </c>
    </row>
    <row r="8">
      <c r="A8" s="3" t="inlineStr">
        <is>
          <t>预留</t>
        </is>
      </c>
      <c r="B8" s="4" t="n">
        <v>79508.33</v>
      </c>
      <c r="C8" s="3" t="inlineStr">
        <is>
          <t>old</t>
        </is>
      </c>
    </row>
    <row r="9">
      <c r="A9" s="3" t="inlineStr">
        <is>
          <t>Misc</t>
        </is>
      </c>
      <c r="B9" s="4" t="n">
        <v>87700.45</v>
      </c>
      <c r="C9" s="3" t="inlineStr"/>
    </row>
    <row r="10">
      <c r="A10" s="3" t="inlineStr">
        <is>
          <t>预留</t>
        </is>
      </c>
      <c r="B10" s="4" t="n">
        <v>5415.66</v>
      </c>
      <c r="C10" s="3" t="inlineStr">
        <is>
          <t>check later</t>
        </is>
      </c>
    </row>
    <row r="11">
      <c r="A11" s="3" t="inlineStr">
        <is>
          <t>Misc</t>
        </is>
      </c>
      <c r="B11" s="4" t="n">
        <v>40028.08</v>
      </c>
      <c r="C11" s="3" t="inlineStr"/>
    </row>
    <row r="12">
      <c r="A12" s="3" t="inlineStr">
        <is>
          <t>调整</t>
        </is>
      </c>
      <c r="B12" s="4" t="n">
        <v>50194.24</v>
      </c>
      <c r="C12" s="3" t="inlineStr">
        <is>
          <t>old</t>
        </is>
      </c>
    </row>
    <row r="13">
      <c r="A13" s="3" t="inlineStr">
        <is>
          <t>杂项</t>
        </is>
      </c>
      <c r="B13" s="4" t="n">
        <v>69816.14999999999</v>
      </c>
      <c r="C13" s="3" t="inlineStr">
        <is>
          <t>废弃</t>
        </is>
      </c>
    </row>
    <row r="14">
      <c r="A14" s="3" t="inlineStr">
        <is>
          <t>TBD</t>
        </is>
      </c>
      <c r="B14" s="4" t="n">
        <v>83066.62</v>
      </c>
      <c r="C14" s="3" t="inlineStr"/>
    </row>
    <row r="15">
      <c r="A15" s="3" t="inlineStr">
        <is>
          <t>杂项</t>
        </is>
      </c>
      <c r="B15" s="4" t="n">
        <v>37651.75</v>
      </c>
      <c r="C15" s="3" t="inlineStr">
        <is>
          <t>废弃</t>
        </is>
      </c>
    </row>
    <row r="16">
      <c r="A16" s="3" t="inlineStr">
        <is>
          <t>调整</t>
        </is>
      </c>
      <c r="B16" s="4" t="n">
        <v>69533.87</v>
      </c>
      <c r="C16" s="3" t="inlineStr">
        <is>
          <t>old</t>
        </is>
      </c>
    </row>
    <row r="17">
      <c r="A17" s="3" t="inlineStr">
        <is>
          <t>Misc</t>
        </is>
      </c>
      <c r="B17" s="4" t="n">
        <v>67495.87</v>
      </c>
      <c r="C17" s="3" t="inlineStr"/>
    </row>
    <row r="18">
      <c r="A18" s="3" t="inlineStr">
        <is>
          <t>杂项</t>
        </is>
      </c>
      <c r="B18" s="4" t="n">
        <v>62597.8</v>
      </c>
      <c r="C18" s="3" t="inlineStr">
        <is>
          <t>check later</t>
        </is>
      </c>
    </row>
    <row r="19">
      <c r="A19" s="3" t="inlineStr">
        <is>
          <t>TBD</t>
        </is>
      </c>
      <c r="B19" s="4" t="n">
        <v>57806</v>
      </c>
      <c r="C19" s="3" t="inlineStr"/>
    </row>
    <row r="20">
      <c r="A20" s="3" t="inlineStr">
        <is>
          <t>TBD</t>
        </is>
      </c>
      <c r="B20" s="4" t="n">
        <v>72028.17</v>
      </c>
      <c r="C20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2026-07-23T23:21:01Z</dcterms:created>
  <dcterms:modified xsi:type="dcterms:W3CDTF">2026-07-23T23:21:01Z</dcterms:modified>
</cp:coreProperties>
</file>