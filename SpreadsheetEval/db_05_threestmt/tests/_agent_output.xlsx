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旧版测算_废弃" sheetId="10" state="visible" r:id="rId10"/>
    <sheet name="Scratc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关键假设 Key Assumptions — 医疗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31185.34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0.711</v>
      </c>
      <c r="C4" s="3" t="inlineStr"/>
    </row>
    <row r="5">
      <c r="A5" s="3" t="inlineStr">
        <is>
          <t>费用率 Opex %</t>
        </is>
      </c>
      <c r="B5" s="5" t="n">
        <v>0.2125</v>
      </c>
      <c r="C5" s="3" t="inlineStr"/>
    </row>
    <row r="6">
      <c r="A6" s="3" t="inlineStr">
        <is>
          <t>所得税率 Tax rate</t>
        </is>
      </c>
      <c r="B6" s="5" t="n">
        <v>0.1648</v>
      </c>
      <c r="C6" s="3" t="inlineStr"/>
    </row>
    <row r="7">
      <c r="A7" s="3" t="inlineStr">
        <is>
          <t>资本开支率 Capex %</t>
        </is>
      </c>
      <c r="B7" s="5" t="n">
        <v>0.1017</v>
      </c>
      <c r="C7" s="3" t="inlineStr"/>
    </row>
    <row r="8">
      <c r="A8" s="3" t="inlineStr">
        <is>
          <t>折旧年限 Dep. years</t>
        </is>
      </c>
      <c r="B8" s="3" t="n">
        <v>5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43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70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42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0.0692</v>
      </c>
      <c r="C12" s="3" t="inlineStr"/>
    </row>
    <row r="13">
      <c r="A13" s="3" t="inlineStr">
        <is>
          <t>WACC</t>
        </is>
      </c>
      <c r="B13" s="5" t="n">
        <v>0.1265</v>
      </c>
      <c r="C13" s="3" t="inlineStr"/>
    </row>
    <row r="14">
      <c r="A14" s="3" t="inlineStr">
        <is>
          <t>永续增长 Terminal growth</t>
        </is>
      </c>
      <c r="B14" s="5" t="n">
        <v>0.0309</v>
      </c>
      <c r="C14" s="3" t="inlineStr"/>
    </row>
    <row r="15">
      <c r="A15" s="3" t="inlineStr">
        <is>
          <t>股本 Shares</t>
        </is>
      </c>
      <c r="B15" s="6" t="n">
        <v>849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5054.56</v>
      </c>
      <c r="C16" s="3" t="inlineStr"/>
    </row>
    <row r="17">
      <c r="A17" s="3" t="inlineStr">
        <is>
          <t>期初固定资产原值</t>
        </is>
      </c>
      <c r="B17" s="4" t="n">
        <v>10529.96</v>
      </c>
      <c r="C17" s="3" t="inlineStr"/>
    </row>
    <row r="18">
      <c r="A18" s="3" t="inlineStr">
        <is>
          <t>期初累计折旧</t>
        </is>
      </c>
      <c r="B18" s="4" t="n">
        <v>3279.79</v>
      </c>
      <c r="C18" s="3" t="inlineStr"/>
    </row>
    <row r="19">
      <c r="A19" s="3" t="inlineStr">
        <is>
          <t>期初有息负债</t>
        </is>
      </c>
      <c r="B19" s="4" t="n">
        <v>10711.44</v>
      </c>
      <c r="C19" s="3" t="inlineStr"/>
    </row>
    <row r="20">
      <c r="A20" s="3" t="inlineStr">
        <is>
          <t>残值率 Salvage %</t>
        </is>
      </c>
      <c r="B20" s="5" t="n">
        <v>0.1454</v>
      </c>
      <c r="C20" s="3" t="inlineStr"/>
    </row>
    <row r="21">
      <c r="A21" s="3" t="inlineStr">
        <is>
          <t>毛利率年提升 GM ramp/yr</t>
        </is>
      </c>
      <c r="B21" s="5" t="n">
        <v>0.0161</v>
      </c>
      <c r="C21" s="3" t="inlineStr"/>
    </row>
    <row r="22">
      <c r="A22" s="3" t="inlineStr">
        <is>
          <t>固定费用 Fixed opex</t>
        </is>
      </c>
      <c r="B22" s="4" t="n">
        <v>2445.29</v>
      </c>
      <c r="C22" s="3" t="inlineStr"/>
    </row>
    <row r="23">
      <c r="A23" s="3" t="inlineStr">
        <is>
          <t>退出倍数 Exit EV/EBIT</t>
        </is>
      </c>
      <c r="B23" s="3" t="n">
        <v>10.18</v>
      </c>
      <c r="C23" s="3" t="inlineStr">
        <is>
          <t>x</t>
        </is>
      </c>
    </row>
    <row r="24">
      <c r="A24" s="3" t="inlineStr">
        <is>
          <t>收入增速 2025 Growth</t>
        </is>
      </c>
      <c r="B24" s="5" t="n">
        <v>0.2433</v>
      </c>
    </row>
    <row r="25">
      <c r="A25" s="3" t="inlineStr">
        <is>
          <t>收入增速 2026 Growth</t>
        </is>
      </c>
      <c r="B25" s="5" t="n">
        <v>0.2343</v>
      </c>
    </row>
    <row r="26">
      <c r="A26" s="3" t="inlineStr">
        <is>
          <t>收入增速 2027 Growth</t>
        </is>
      </c>
      <c r="B26" s="5" t="n">
        <v>0.3106</v>
      </c>
    </row>
    <row r="27">
      <c r="A27" s="3" t="inlineStr">
        <is>
          <t>收入增速 2028 Growth</t>
        </is>
      </c>
      <c r="B27" s="5" t="n">
        <v>0.1718</v>
      </c>
    </row>
    <row r="28">
      <c r="A28" s="3" t="inlineStr">
        <is>
          <t>还本 2025 Debt repayment</t>
        </is>
      </c>
      <c r="B28" s="4" t="n">
        <v>377.42</v>
      </c>
    </row>
    <row r="29">
      <c r="A29" s="3" t="inlineStr">
        <is>
          <t>还本 2026 Debt repayment</t>
        </is>
      </c>
      <c r="B29" s="4" t="n">
        <v>373.82</v>
      </c>
    </row>
    <row r="30">
      <c r="A30" s="3" t="inlineStr">
        <is>
          <t>还本 2027 Debt repayment</t>
        </is>
      </c>
      <c r="B30" s="4" t="n">
        <v>563.36</v>
      </c>
    </row>
    <row r="31">
      <c r="A31" s="3" t="inlineStr">
        <is>
          <t>还本 2028 Debt repayment</t>
        </is>
      </c>
      <c r="B31" s="4" t="n">
        <v>500.56</v>
      </c>
    </row>
    <row r="33">
      <c r="A33" s="7" t="inlineStr">
        <is>
          <t>★ 会计口径约定 House conventions（务必遵循）</t>
        </is>
      </c>
    </row>
    <row r="34">
      <c r="A34" t="inlineStr">
        <is>
          <t>• 折旧按【期初原值】计提（非期末）：Depreciation = 期初原值 / 折旧年限。</t>
        </is>
      </c>
    </row>
    <row r="35">
      <c r="A35" t="inlineStr">
        <is>
          <t>• 折旧考虑残值：Depreciation = (期初原值 × (1−残值率)) / 折旧年限。</t>
        </is>
      </c>
    </row>
    <row r="36">
      <c r="A36" t="inlineStr">
        <is>
          <t>• 营运资本天数基数采用 360 天（非 365）：AR/存货/AP 均按 /360 计算。</t>
        </is>
      </c>
    </row>
    <row r="37">
      <c r="A37" t="inlineStr">
        <is>
          <t>• 期间费用 = 收入 × 费用率 + 固定费用（含一笔固定管理费）。</t>
        </is>
      </c>
    </row>
    <row r="38">
      <c r="A38" t="inlineStr">
        <is>
          <t>• 毛利率逐年提升：第 t 年毛利率 = 基准毛利率 + GM ramp ×(t−1)。</t>
        </is>
      </c>
    </row>
    <row r="39">
      <c r="A39" t="inlineStr">
        <is>
          <t>• 终值采用【退出倍数法】：TV = 末期EBIT × 退出倍数（非永续增长法）。</t>
        </is>
      </c>
    </row>
    <row r="40">
      <c r="A40" t="inlineStr">
        <is>
          <t>• DCF 采用【期中折现】：折现因子 = 1/(1+WACC)^(t−0.5)。</t>
        </is>
      </c>
    </row>
    <row r="41">
      <c r="A41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36:F36"/>
    <mergeCell ref="A1:F1"/>
    <mergeCell ref="A37:F37"/>
    <mergeCell ref="A34:F34"/>
    <mergeCell ref="A35:F35"/>
    <mergeCell ref="A40:F40"/>
    <mergeCell ref="A39:F39"/>
  </mergeCells>
  <dataValidations count="1">
    <dataValidation sqref="B3:B31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营业收入 Revenue</t>
        </is>
      </c>
      <c r="B3" s="4" t="n">
        <v>31185.34</v>
      </c>
      <c r="C3">
        <f>B3*(1+Assumptions!B24)</f>
        <v/>
      </c>
      <c r="D3">
        <f>C3*(1+Assumptions!B25)</f>
        <v/>
      </c>
      <c r="E3">
        <f>D3*(1+Assumptions!B26)</f>
        <v/>
      </c>
      <c r="F3">
        <f>E3*(1+Assumptions!B27)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</row>
    <row r="4">
      <c r="A4" s="7" t="inlineStr">
        <is>
          <t>资本开支 Capex</t>
        </is>
      </c>
      <c r="C4">
        <f>MAX(Revenue!C3*Assumptions!B7,B6)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</row>
    <row r="5">
      <c r="A5" s="7" t="inlineStr">
        <is>
          <t>期末原值 Gross end</t>
        </is>
      </c>
      <c r="B5" s="4" t="n">
        <v>10529.96</v>
      </c>
      <c r="C5">
        <f>C3+C4</f>
        <v/>
      </c>
      <c r="D5">
        <f>D3+D4</f>
        <v/>
      </c>
      <c r="E5">
        <f>E3+E4</f>
        <v/>
      </c>
      <c r="F5">
        <f>F3+F4</f>
        <v/>
      </c>
    </row>
    <row r="6">
      <c r="A6" s="7" t="inlineStr">
        <is>
          <t>本期折旧 Depreciation</t>
        </is>
      </c>
      <c r="C6">
        <f>C3*(1-Assumptions!B20)/Assumptions!B8</f>
        <v/>
      </c>
      <c r="D6">
        <f>D3*(1-Assumptions!B20)/Assumptions!B8</f>
        <v/>
      </c>
      <c r="E6">
        <f>E3*(1-Assumptions!B20)/Assumptions!B8</f>
        <v/>
      </c>
      <c r="F6">
        <f>F3*(1-Assumptions!B20)/Assumptions!B8</f>
        <v/>
      </c>
    </row>
    <row r="7" hidden="1">
      <c r="A7" s="7" t="inlineStr">
        <is>
          <t>累计折旧 Accum. dep</t>
        </is>
      </c>
      <c r="B7" s="4" t="n">
        <v>3279.79</v>
      </c>
      <c r="C7">
        <f>B7+C6</f>
        <v/>
      </c>
      <c r="D7">
        <f>C7+D6</f>
        <v/>
      </c>
      <c r="E7">
        <f>D7+E6</f>
        <v/>
      </c>
      <c r="F7">
        <f>E7+F6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</row>
    <row r="6">
      <c r="A6" s="7" t="inlineStr">
        <is>
          <t>期间费用 Opex</t>
        </is>
      </c>
      <c r="C6">
        <f>C3*Assumptions!B5+Assumptions!B22</f>
        <v/>
      </c>
      <c r="D6">
        <f>D3*Assumptions!B5+Assumptions!B22</f>
        <v/>
      </c>
      <c r="E6">
        <f>E3*Assumptions!B5+Assumptions!B22</f>
        <v/>
      </c>
      <c r="F6">
        <f>F3*Assumptions!B5+Assumptions!B22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</row>
    <row r="9">
      <c r="A9" s="7" t="inlineStr">
        <is>
          <t>利息费用 Interest</t>
        </is>
      </c>
      <c r="C9">
        <f>DebtSchedule!C5*Assumptions!B12</f>
        <v/>
      </c>
      <c r="D9">
        <f>DebtSchedule!D5*Assumptions!B12</f>
        <v/>
      </c>
      <c r="E9">
        <f>DebtSchedule!E5*Assumptions!B12</f>
        <v/>
      </c>
      <c r="F9">
        <f>DebtSchedule!F5*Assumptions!B12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</row>
    <row r="4">
      <c r="A4" s="7" t="inlineStr">
        <is>
          <t>还本 Repayment</t>
        </is>
      </c>
      <c r="C4">
        <f>Assumptions!B28</f>
        <v/>
      </c>
      <c r="D4">
        <f>Assumptions!B29</f>
        <v/>
      </c>
      <c r="E4">
        <f>Assumptions!B30</f>
        <v/>
      </c>
      <c r="F4">
        <f>Assumptions!B31</f>
        <v/>
      </c>
    </row>
    <row r="5">
      <c r="A5" s="7" t="inlineStr">
        <is>
          <t>期末负债 Debt end</t>
        </is>
      </c>
      <c r="B5" s="4" t="n">
        <v>10711.44</v>
      </c>
      <c r="C5">
        <f>C3-C4</f>
        <v/>
      </c>
      <c r="D5">
        <f>D3-D4</f>
        <v/>
      </c>
      <c r="E5">
        <f>E3-E4</f>
        <v/>
      </c>
      <c r="F5">
        <f>F3-F4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应收账款 AR</t>
        </is>
      </c>
      <c r="B3" s="4" t="n">
        <v>3673.89</v>
      </c>
      <c r="C3">
        <f>IncomeStatement!C3*Assumptions!B9/360</f>
        <v/>
      </c>
      <c r="D3">
        <f>IncomeStatement!D3*Assumptions!B9/360</f>
        <v/>
      </c>
      <c r="E3">
        <f>IncomeStatement!E3*Assumptions!B9/360</f>
        <v/>
      </c>
      <c r="F3">
        <f>IncomeStatement!F3*Assumptions!B9/360</f>
        <v/>
      </c>
    </row>
    <row r="4">
      <c r="A4" s="7" t="inlineStr">
        <is>
          <t>存货 Inventory</t>
        </is>
      </c>
      <c r="B4" s="4" t="n">
        <v>1728.44</v>
      </c>
      <c r="C4">
        <f>IncomeStatement!C4*Assumptions!B10/360</f>
        <v/>
      </c>
      <c r="D4">
        <f>IncomeStatement!D4*Assumptions!B10/360</f>
        <v/>
      </c>
      <c r="E4">
        <f>IncomeStatement!E4*Assumptions!B10/360</f>
        <v/>
      </c>
      <c r="F4">
        <f>IncomeStatement!F4*Assumptions!B10/360</f>
        <v/>
      </c>
    </row>
    <row r="5">
      <c r="A5" s="7" t="inlineStr">
        <is>
          <t>应付账款 AP</t>
        </is>
      </c>
      <c r="B5" s="4" t="n">
        <v>1037.06</v>
      </c>
      <c r="C5">
        <f>IncomeStatement!C4*Assumptions!B11/360</f>
        <v/>
      </c>
      <c r="D5">
        <f>IncomeStatement!D4*Assumptions!B11/360</f>
        <v/>
      </c>
      <c r="E5">
        <f>IncomeStatement!E4*Assumptions!B11/360</f>
        <v/>
      </c>
      <c r="F5">
        <f>IncomeStatement!F4*Assumptions!B11/360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</row>
    <row r="13">
      <c r="A13" s="7" t="inlineStr">
        <is>
          <t>期末现金 Cash end</t>
        </is>
      </c>
      <c r="B13" s="4" t="n">
        <v>5054.56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现金 Cash</t>
        </is>
      </c>
      <c r="B3" s="4" t="n">
        <v>5054.56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</row>
    <row r="4">
      <c r="A4" s="7" t="inlineStr">
        <is>
          <t>应收 AR</t>
        </is>
      </c>
      <c r="B4" s="4" t="n">
        <v>3673.89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</row>
    <row r="5">
      <c r="A5" s="7" t="inlineStr">
        <is>
          <t>存货 Inventory</t>
        </is>
      </c>
      <c r="B5" s="4" t="n">
        <v>1728.44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</row>
    <row r="6">
      <c r="A6" s="7" t="inlineStr">
        <is>
          <t>净固定资产 Net PP&amp;E</t>
        </is>
      </c>
      <c r="B6" s="4" t="n">
        <v>7250.169999999999</v>
      </c>
      <c r="C6">
        <f>PPE!C8</f>
        <v/>
      </c>
      <c r="D6">
        <f>PPE!D8</f>
        <v/>
      </c>
      <c r="E6">
        <f>PPE!E8</f>
        <v/>
      </c>
      <c r="F6">
        <f>PPE!F8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</row>
    <row r="8">
      <c r="A8" s="7" t="inlineStr">
        <is>
          <t>应付 AP</t>
        </is>
      </c>
      <c r="B8" s="4" t="n">
        <v>1037.06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</row>
    <row r="9">
      <c r="A9" s="7" t="inlineStr">
        <is>
          <t>有息负债 Debt</t>
        </is>
      </c>
      <c r="B9" s="4" t="n">
        <v>10711.44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</row>
    <row r="11">
      <c r="A11" s="7" t="inlineStr">
        <is>
          <t>所有者权益 Equity</t>
        </is>
      </c>
      <c r="B11" s="4" t="n">
        <v>5958.56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</row>
  </sheetData>
  <mergeCells count="1">
    <mergeCell ref="A1:F1"/>
  </mergeCells>
  <conditionalFormatting sqref="B13:F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</row>
    <row r="12">
      <c r="A12" s="7" t="inlineStr">
        <is>
          <t>预测期PV合计 Σ PV(FCF)</t>
        </is>
      </c>
      <c r="B12">
        <f>SUM(C10:F10)</f>
        <v/>
      </c>
    </row>
    <row r="13">
      <c r="A13" s="7" t="inlineStr">
        <is>
          <t>终值 Terminal value</t>
        </is>
      </c>
      <c r="B13">
        <f>F3*Assumptions!B23</f>
        <v/>
      </c>
    </row>
    <row r="14">
      <c r="A14" s="7" t="inlineStr">
        <is>
          <t>终值现值 PV(TV)</t>
        </is>
      </c>
      <c r="B14">
        <f>B13*F9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预留</t>
        </is>
      </c>
      <c r="B3" s="4" t="n">
        <v>10125.96</v>
      </c>
      <c r="C3" s="3" t="inlineStr">
        <is>
          <t>old</t>
        </is>
      </c>
    </row>
    <row r="4">
      <c r="A4" s="3" t="inlineStr">
        <is>
          <t>TBD</t>
        </is>
      </c>
      <c r="B4" s="4" t="n">
        <v>60778.16</v>
      </c>
      <c r="C4" s="3" t="inlineStr">
        <is>
          <t>check later</t>
        </is>
      </c>
    </row>
    <row r="5">
      <c r="A5" s="3" t="inlineStr">
        <is>
          <t>Misc</t>
        </is>
      </c>
      <c r="B5" s="4" t="n">
        <v>32955.67</v>
      </c>
      <c r="C5" s="3" t="inlineStr">
        <is>
          <t>废弃</t>
        </is>
      </c>
    </row>
    <row r="6">
      <c r="A6" s="3" t="inlineStr">
        <is>
          <t>杂项</t>
        </is>
      </c>
      <c r="B6" s="4" t="n">
        <v>72787.32000000001</v>
      </c>
      <c r="C6" s="3" t="inlineStr"/>
    </row>
    <row r="7">
      <c r="A7" s="3" t="inlineStr">
        <is>
          <t>调整</t>
        </is>
      </c>
      <c r="B7" s="4" t="n">
        <v>87690.09</v>
      </c>
      <c r="C7" s="3" t="inlineStr">
        <is>
          <t>check later</t>
        </is>
      </c>
    </row>
    <row r="8">
      <c r="A8" s="3" t="inlineStr">
        <is>
          <t>杂项</t>
        </is>
      </c>
      <c r="B8" s="4" t="n">
        <v>20827.27</v>
      </c>
      <c r="C8" s="3" t="inlineStr">
        <is>
          <t>check later</t>
        </is>
      </c>
    </row>
    <row r="9">
      <c r="A9" s="3" t="inlineStr">
        <is>
          <t>TBD</t>
        </is>
      </c>
      <c r="B9" s="4" t="n">
        <v>52874.05</v>
      </c>
      <c r="C9" s="3" t="inlineStr">
        <is>
          <t>废弃</t>
        </is>
      </c>
    </row>
    <row r="10">
      <c r="A10" s="3" t="inlineStr">
        <is>
          <t>Misc</t>
        </is>
      </c>
      <c r="B10" s="4" t="n">
        <v>85742.88</v>
      </c>
      <c r="C10" s="3" t="inlineStr">
        <is>
          <t>废弃</t>
        </is>
      </c>
    </row>
    <row r="11">
      <c r="A11" s="3" t="inlineStr">
        <is>
          <t>杂项</t>
        </is>
      </c>
      <c r="B11" s="4" t="n">
        <v>23768.26</v>
      </c>
      <c r="C11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65949.58</v>
      </c>
      <c r="C3" s="3" t="inlineStr">
        <is>
          <t>check later</t>
        </is>
      </c>
    </row>
    <row r="4">
      <c r="A4" s="3" t="inlineStr">
        <is>
          <t>Misc</t>
        </is>
      </c>
      <c r="B4" s="4" t="n">
        <v>27523.04</v>
      </c>
      <c r="C4" s="3" t="inlineStr">
        <is>
          <t>old</t>
        </is>
      </c>
    </row>
    <row r="5">
      <c r="A5" s="3" t="inlineStr">
        <is>
          <t>预留</t>
        </is>
      </c>
      <c r="B5" s="4" t="n">
        <v>29946.5</v>
      </c>
      <c r="C5" s="3" t="inlineStr"/>
    </row>
    <row r="6">
      <c r="A6" s="3" t="inlineStr">
        <is>
          <t>预留</t>
        </is>
      </c>
      <c r="B6" s="4" t="n">
        <v>56142.8</v>
      </c>
      <c r="C6" s="3" t="inlineStr"/>
    </row>
    <row r="7">
      <c r="A7" s="3" t="inlineStr">
        <is>
          <t>预留</t>
        </is>
      </c>
      <c r="B7" s="4" t="n">
        <v>1160.62</v>
      </c>
      <c r="C7" s="3" t="inlineStr">
        <is>
          <t>check later</t>
        </is>
      </c>
    </row>
    <row r="8">
      <c r="A8" s="3" t="inlineStr">
        <is>
          <t>TBD</t>
        </is>
      </c>
      <c r="B8" s="4" t="n">
        <v>18625.24</v>
      </c>
      <c r="C8" s="3" t="inlineStr">
        <is>
          <t>check later</t>
        </is>
      </c>
    </row>
    <row r="9">
      <c r="A9" s="3" t="inlineStr">
        <is>
          <t>调整</t>
        </is>
      </c>
      <c r="B9" s="4" t="n">
        <v>46449.97</v>
      </c>
      <c r="C9" s="3" t="inlineStr">
        <is>
          <t>废弃</t>
        </is>
      </c>
    </row>
    <row r="10">
      <c r="A10" s="3" t="inlineStr">
        <is>
          <t>杂项</t>
        </is>
      </c>
      <c r="B10" s="4" t="n">
        <v>37093.76</v>
      </c>
      <c r="C10" s="3" t="inlineStr"/>
    </row>
    <row r="11">
      <c r="A11" s="3" t="inlineStr">
        <is>
          <t>杂项</t>
        </is>
      </c>
      <c r="B11" s="4" t="n">
        <v>69470.45</v>
      </c>
      <c r="C11" s="3" t="inlineStr">
        <is>
          <t>old</t>
        </is>
      </c>
    </row>
    <row r="12">
      <c r="A12" s="3" t="inlineStr">
        <is>
          <t>预留</t>
        </is>
      </c>
      <c r="B12" s="4" t="n">
        <v>6822.65</v>
      </c>
      <c r="C12" s="3" t="inlineStr">
        <is>
          <t>废弃</t>
        </is>
      </c>
    </row>
    <row r="13">
      <c r="A13" s="3" t="inlineStr">
        <is>
          <t>预留</t>
        </is>
      </c>
      <c r="B13" s="4" t="n">
        <v>59836.45</v>
      </c>
      <c r="C13" s="3" t="inlineStr">
        <is>
          <t>check later</t>
        </is>
      </c>
    </row>
    <row r="14">
      <c r="A14" s="3" t="inlineStr">
        <is>
          <t>调整</t>
        </is>
      </c>
      <c r="B14" s="4" t="n">
        <v>82969.49000000001</v>
      </c>
      <c r="C14" s="3" t="inlineStr">
        <is>
          <t>废弃</t>
        </is>
      </c>
    </row>
    <row r="15">
      <c r="A15" s="3" t="inlineStr">
        <is>
          <t>Misc</t>
        </is>
      </c>
      <c r="B15" s="4" t="n">
        <v>89452.13</v>
      </c>
      <c r="C15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2026-07-23T23:35:01Z</dcterms:created>
  <dcterms:modified xsi:type="dcterms:W3CDTF">2026-07-24T04:13:34Z</dcterms:modified>
</cp:coreProperties>
</file>