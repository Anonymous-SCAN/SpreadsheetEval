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OldForecast_v1" sheetId="10" state="visible" r:id="rId10"/>
    <sheet name="旧版测算_废弃" sheetId="11" state="visible" r:id="rId11"/>
    <sheet name="旧版测算_废弃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37894.66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0.5921</v>
      </c>
      <c r="C4" s="3" t="inlineStr"/>
    </row>
    <row r="5">
      <c r="A5" s="3" t="inlineStr">
        <is>
          <t>费用率 Opex %</t>
        </is>
      </c>
      <c r="B5" s="5" t="n">
        <v>0.2046</v>
      </c>
      <c r="C5" s="3" t="inlineStr"/>
    </row>
    <row r="6">
      <c r="A6" s="3" t="inlineStr">
        <is>
          <t>所得税率 Tax rate</t>
        </is>
      </c>
      <c r="B6" s="5" t="n">
        <v>0.2007</v>
      </c>
      <c r="C6" s="3" t="inlineStr"/>
    </row>
    <row r="7">
      <c r="A7" s="3" t="inlineStr">
        <is>
          <t>资本开支率 Capex %</t>
        </is>
      </c>
      <c r="B7" s="5" t="n">
        <v>0.0973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38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0.1386</v>
      </c>
      <c r="C13" s="3" t="inlineStr"/>
    </row>
    <row r="14">
      <c r="A14" s="3" t="inlineStr">
        <is>
          <t>永续增长 Terminal growth</t>
        </is>
      </c>
      <c r="B14" s="5" t="n">
        <v>0.0207</v>
      </c>
      <c r="C14" s="3" t="inlineStr"/>
    </row>
    <row r="15">
      <c r="A15" s="3" t="inlineStr">
        <is>
          <t>股本 Shares</t>
        </is>
      </c>
      <c r="B15" s="6" t="n">
        <v>1678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6148.74</v>
      </c>
      <c r="C16" s="3" t="inlineStr"/>
    </row>
    <row r="17">
      <c r="A17" s="3" t="inlineStr">
        <is>
          <t>期初固定资产原值</t>
        </is>
      </c>
      <c r="B17" s="4" t="n">
        <v>14500.67</v>
      </c>
      <c r="C17" s="3" t="inlineStr"/>
    </row>
    <row r="18">
      <c r="A18" s="3" t="inlineStr">
        <is>
          <t>期初累计折旧</t>
        </is>
      </c>
      <c r="B18" s="4" t="n">
        <v>1881.02</v>
      </c>
      <c r="C18" s="3" t="inlineStr"/>
    </row>
    <row r="19">
      <c r="A19" s="3" t="inlineStr">
        <is>
          <t>期初有息负债</t>
        </is>
      </c>
      <c r="B19" s="4" t="n">
        <v>9712.809999999999</v>
      </c>
      <c r="C19" s="3" t="inlineStr"/>
    </row>
    <row r="20">
      <c r="A20" s="3" t="inlineStr">
        <is>
          <t>残值率 Salvage %</t>
        </is>
      </c>
      <c r="B20" s="5" t="n">
        <v>0.1326</v>
      </c>
      <c r="C20" s="3" t="inlineStr"/>
    </row>
    <row r="21">
      <c r="A21" s="3" t="inlineStr">
        <is>
          <t>毛利率年提升 GM ramp/yr</t>
        </is>
      </c>
      <c r="B21" s="5" t="n">
        <v>0.0242</v>
      </c>
      <c r="C21" s="3" t="inlineStr"/>
    </row>
    <row r="22">
      <c r="A22" s="3" t="inlineStr">
        <is>
          <t>固定费用 Fixed opex</t>
        </is>
      </c>
      <c r="B22" s="4" t="n">
        <v>2313.51</v>
      </c>
      <c r="C22" s="3" t="inlineStr"/>
    </row>
    <row r="23">
      <c r="A23" s="3" t="inlineStr">
        <is>
          <t>退出倍数 Exit EV/EBIT</t>
        </is>
      </c>
      <c r="B23" s="3" t="n">
        <v>10.55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0.2802</v>
      </c>
    </row>
    <row r="25">
      <c r="A25" s="3" t="inlineStr">
        <is>
          <t>收入增速 2026 Growth</t>
        </is>
      </c>
      <c r="B25" s="5" t="n">
        <v>0.3082</v>
      </c>
    </row>
    <row r="26">
      <c r="A26" s="3" t="inlineStr">
        <is>
          <t>收入增速 2027 Growth</t>
        </is>
      </c>
      <c r="B26" s="5" t="n">
        <v>0.2785</v>
      </c>
    </row>
    <row r="27">
      <c r="A27" s="3" t="inlineStr">
        <is>
          <t>收入增速 2028 Growth</t>
        </is>
      </c>
      <c r="B27" s="5" t="n">
        <v>0.3298</v>
      </c>
    </row>
    <row r="28">
      <c r="A28" s="3" t="inlineStr">
        <is>
          <t>收入增速 2029 Growth</t>
        </is>
      </c>
      <c r="B28" s="5" t="n">
        <v>0.29</v>
      </c>
    </row>
    <row r="29">
      <c r="A29" s="3" t="inlineStr">
        <is>
          <t>还本 2025 Debt repayment</t>
        </is>
      </c>
      <c r="B29" s="4" t="n">
        <v>1074.84</v>
      </c>
    </row>
    <row r="30">
      <c r="A30" s="3" t="inlineStr">
        <is>
          <t>还本 2026 Debt repayment</t>
        </is>
      </c>
      <c r="B30" s="4" t="n">
        <v>822.6799999999999</v>
      </c>
    </row>
    <row r="31">
      <c r="A31" s="3" t="inlineStr">
        <is>
          <t>还本 2027 Debt repayment</t>
        </is>
      </c>
      <c r="B31" s="4" t="n">
        <v>905.49</v>
      </c>
    </row>
    <row r="32">
      <c r="A32" s="3" t="inlineStr">
        <is>
          <t>还本 2028 Debt repayment</t>
        </is>
      </c>
      <c r="B32" s="4" t="n">
        <v>503.92</v>
      </c>
    </row>
    <row r="33">
      <c r="A33" s="3" t="inlineStr">
        <is>
          <t>还本 2029 Debt repayment</t>
        </is>
      </c>
      <c r="B33" s="4" t="n">
        <v>891.53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37894.66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14500.67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1881.02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9712.809999999999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4152.84</v>
      </c>
    </row>
    <row r="4">
      <c r="A4" s="7" t="inlineStr">
        <is>
          <t>存货 Inventory</t>
        </is>
      </c>
      <c r="B4" s="4" t="n">
        <v>1609.25</v>
      </c>
    </row>
    <row r="5">
      <c r="A5" s="7" t="inlineStr">
        <is>
          <t>应付账款 AP</t>
        </is>
      </c>
      <c r="B5" s="4" t="n">
        <v>1863.34</v>
      </c>
    </row>
    <row r="6">
      <c r="A6" s="7" t="inlineStr">
        <is>
          <t>净营运资本 NWC</t>
        </is>
      </c>
    </row>
    <row r="7">
      <c r="A7" s="7" t="inlineStr">
        <is>
          <t>NWC变动 ΔNWC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6148.74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6148.74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4152.84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1609.25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12619.65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1863.34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9712.809999999999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12954.33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18186.79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43859.77</v>
      </c>
      <c r="C4" s="3" t="inlineStr">
        <is>
          <t>old</t>
        </is>
      </c>
    </row>
    <row r="5">
      <c r="A5" s="3" t="inlineStr">
        <is>
          <t>预留</t>
        </is>
      </c>
      <c r="B5" s="4" t="n">
        <v>38392.47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43829.01</v>
      </c>
      <c r="C6" s="3" t="inlineStr">
        <is>
          <t>check later</t>
        </is>
      </c>
    </row>
    <row r="7">
      <c r="A7" s="3" t="inlineStr">
        <is>
          <t>杂项</t>
        </is>
      </c>
      <c r="B7" s="4" t="n">
        <v>75802.64</v>
      </c>
      <c r="C7" s="3" t="inlineStr"/>
    </row>
    <row r="8">
      <c r="A8" s="3" t="inlineStr">
        <is>
          <t>调整</t>
        </is>
      </c>
      <c r="B8" s="4" t="n">
        <v>44178.59</v>
      </c>
      <c r="C8" s="3" t="inlineStr"/>
    </row>
    <row r="9">
      <c r="A9" s="3" t="inlineStr">
        <is>
          <t>TBD</t>
        </is>
      </c>
      <c r="B9" s="4" t="n">
        <v>69186.39</v>
      </c>
      <c r="C9" s="3" t="inlineStr"/>
    </row>
    <row r="10">
      <c r="A10" s="3" t="inlineStr">
        <is>
          <t>Misc</t>
        </is>
      </c>
      <c r="B10" s="4" t="n">
        <v>26967.78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56251.76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24301.28</v>
      </c>
      <c r="C12" s="3" t="inlineStr"/>
    </row>
    <row r="13">
      <c r="A13" s="3" t="inlineStr">
        <is>
          <t>预留</t>
        </is>
      </c>
      <c r="B13" s="4" t="n">
        <v>40594.86</v>
      </c>
      <c r="C13" s="3" t="inlineStr"/>
    </row>
    <row r="14">
      <c r="A14" s="3" t="inlineStr">
        <is>
          <t>调整</t>
        </is>
      </c>
      <c r="B14" s="4" t="n">
        <v>58568.36</v>
      </c>
      <c r="C14" s="3" t="inlineStr"/>
    </row>
    <row r="15">
      <c r="A15" s="3" t="inlineStr">
        <is>
          <t>TBD</t>
        </is>
      </c>
      <c r="B15" s="4" t="n">
        <v>22328.95</v>
      </c>
      <c r="C15" s="3" t="inlineStr">
        <is>
          <t>old</t>
        </is>
      </c>
    </row>
    <row r="16">
      <c r="A16" s="3" t="inlineStr">
        <is>
          <t>TBD</t>
        </is>
      </c>
      <c r="B16" s="4" t="n">
        <v>20477.81</v>
      </c>
      <c r="C16" s="3" t="inlineStr">
        <is>
          <t>废弃</t>
        </is>
      </c>
    </row>
    <row r="17">
      <c r="A17" s="3" t="inlineStr">
        <is>
          <t>预留</t>
        </is>
      </c>
      <c r="B17" s="4" t="n">
        <v>52488.16</v>
      </c>
      <c r="C17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30440.19</v>
      </c>
      <c r="C3" s="3" t="inlineStr">
        <is>
          <t>old</t>
        </is>
      </c>
    </row>
    <row r="4">
      <c r="A4" s="3" t="inlineStr">
        <is>
          <t>杂项</t>
        </is>
      </c>
      <c r="B4" s="4" t="n">
        <v>30171.29</v>
      </c>
      <c r="C4" s="3" t="inlineStr">
        <is>
          <t>old</t>
        </is>
      </c>
    </row>
    <row r="5">
      <c r="A5" s="3" t="inlineStr">
        <is>
          <t>TBD</t>
        </is>
      </c>
      <c r="B5" s="4" t="n">
        <v>9438.969999999999</v>
      </c>
      <c r="C5" s="3" t="inlineStr">
        <is>
          <t>废弃</t>
        </is>
      </c>
    </row>
    <row r="6">
      <c r="A6" s="3" t="inlineStr">
        <is>
          <t>调整</t>
        </is>
      </c>
      <c r="B6" s="4" t="n">
        <v>36299.28</v>
      </c>
      <c r="C6" s="3" t="inlineStr">
        <is>
          <t>old</t>
        </is>
      </c>
    </row>
    <row r="7">
      <c r="A7" s="3" t="inlineStr">
        <is>
          <t>预留</t>
        </is>
      </c>
      <c r="B7" s="4" t="n">
        <v>24814.75</v>
      </c>
      <c r="C7" s="3" t="inlineStr"/>
    </row>
    <row r="8">
      <c r="A8" s="3" t="inlineStr">
        <is>
          <t>TBD</t>
        </is>
      </c>
      <c r="B8" s="4" t="n">
        <v>57803.65</v>
      </c>
      <c r="C8" s="3" t="inlineStr">
        <is>
          <t>废弃</t>
        </is>
      </c>
    </row>
    <row r="9">
      <c r="A9" s="3" t="inlineStr">
        <is>
          <t>调整</t>
        </is>
      </c>
      <c r="B9" s="4" t="n">
        <v>12897.53</v>
      </c>
      <c r="C9" s="3" t="inlineStr"/>
    </row>
    <row r="10">
      <c r="A10" s="3" t="inlineStr">
        <is>
          <t>杂项</t>
        </is>
      </c>
      <c r="B10" s="4" t="n">
        <v>56328.89</v>
      </c>
      <c r="C10" s="3" t="inlineStr">
        <is>
          <t>废弃</t>
        </is>
      </c>
    </row>
    <row r="11">
      <c r="A11" s="3" t="inlineStr">
        <is>
          <t>预留</t>
        </is>
      </c>
      <c r="B11" s="4" t="n">
        <v>37525.52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54144.44</v>
      </c>
      <c r="C12" s="3" t="inlineStr">
        <is>
          <t>check later</t>
        </is>
      </c>
    </row>
    <row r="13">
      <c r="A13" s="3" t="inlineStr">
        <is>
          <t>Misc</t>
        </is>
      </c>
      <c r="B13" s="4" t="n">
        <v>23437</v>
      </c>
      <c r="C13" s="3" t="inlineStr"/>
    </row>
    <row r="14">
      <c r="A14" s="3" t="inlineStr">
        <is>
          <t>Misc</t>
        </is>
      </c>
      <c r="B14" s="4" t="n">
        <v>72977.86</v>
      </c>
      <c r="C14" s="3" t="inlineStr">
        <is>
          <t>废弃</t>
        </is>
      </c>
    </row>
    <row r="15">
      <c r="A15" s="3" t="inlineStr">
        <is>
          <t>调整</t>
        </is>
      </c>
      <c r="B15" s="4" t="n">
        <v>72085.03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13116.74</v>
      </c>
      <c r="C16" s="3" t="inlineStr">
        <is>
          <t>废弃</t>
        </is>
      </c>
    </row>
    <row r="17">
      <c r="A17" s="3" t="inlineStr">
        <is>
          <t>TBD</t>
        </is>
      </c>
      <c r="B17" s="4" t="n">
        <v>49640.2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74954.74000000001</v>
      </c>
      <c r="C3" s="3" t="inlineStr">
        <is>
          <t>old</t>
        </is>
      </c>
    </row>
    <row r="4">
      <c r="A4" s="3" t="inlineStr">
        <is>
          <t>预留</t>
        </is>
      </c>
      <c r="B4" s="4" t="n">
        <v>54396.37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24213.76</v>
      </c>
      <c r="C5" s="3" t="inlineStr"/>
    </row>
    <row r="6">
      <c r="A6" s="3" t="inlineStr">
        <is>
          <t>TBD</t>
        </is>
      </c>
      <c r="B6" s="4" t="n">
        <v>70608.71000000001</v>
      </c>
      <c r="C6" s="3" t="inlineStr"/>
    </row>
    <row r="7">
      <c r="A7" s="3" t="inlineStr">
        <is>
          <t>TBD</t>
        </is>
      </c>
      <c r="B7" s="4" t="n">
        <v>5661.59</v>
      </c>
      <c r="C7" s="3" t="inlineStr">
        <is>
          <t>old</t>
        </is>
      </c>
    </row>
    <row r="8">
      <c r="A8" s="3" t="inlineStr">
        <is>
          <t>TBD</t>
        </is>
      </c>
      <c r="B8" s="4" t="n">
        <v>32228.23</v>
      </c>
      <c r="C8" s="3" t="inlineStr"/>
    </row>
    <row r="9">
      <c r="A9" s="3" t="inlineStr">
        <is>
          <t>TBD</t>
        </is>
      </c>
      <c r="B9" s="4" t="n">
        <v>23550.76</v>
      </c>
      <c r="C9" s="3" t="inlineStr">
        <is>
          <t>old</t>
        </is>
      </c>
    </row>
    <row r="10">
      <c r="A10" s="3" t="inlineStr">
        <is>
          <t>调整</t>
        </is>
      </c>
      <c r="B10" s="4" t="n">
        <v>39600.32</v>
      </c>
      <c r="C10" s="3" t="inlineStr"/>
    </row>
    <row r="11">
      <c r="A11" s="3" t="inlineStr">
        <is>
          <t>调整</t>
        </is>
      </c>
      <c r="B11" s="4" t="n">
        <v>68412.91</v>
      </c>
      <c r="C11" s="3" t="inlineStr">
        <is>
          <t>废弃</t>
        </is>
      </c>
    </row>
    <row r="12">
      <c r="A12" s="3" t="inlineStr">
        <is>
          <t>调整</t>
        </is>
      </c>
      <c r="B12" s="4" t="n">
        <v>18288.29</v>
      </c>
      <c r="C12" s="3" t="inlineStr">
        <is>
          <t>废弃</t>
        </is>
      </c>
    </row>
    <row r="13">
      <c r="A13" s="3" t="inlineStr">
        <is>
          <t>TBD</t>
        </is>
      </c>
      <c r="B13" s="4" t="n">
        <v>88156.33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32658.73</v>
      </c>
      <c r="C14" s="3" t="inlineStr">
        <is>
          <t>check later</t>
        </is>
      </c>
    </row>
    <row r="15">
      <c r="A15" s="3" t="inlineStr">
        <is>
          <t>杂项</t>
        </is>
      </c>
      <c r="B15" s="4" t="n">
        <v>83838.69</v>
      </c>
      <c r="C15" s="3" t="inlineStr">
        <is>
          <t>废弃</t>
        </is>
      </c>
    </row>
    <row r="16">
      <c r="A16" s="3" t="inlineStr">
        <is>
          <t>Misc</t>
        </is>
      </c>
      <c r="B16" s="4" t="n">
        <v>69104.58</v>
      </c>
      <c r="C16" s="3" t="inlineStr"/>
    </row>
    <row r="17">
      <c r="A17" s="3" t="inlineStr">
        <is>
          <t>调整</t>
        </is>
      </c>
      <c r="B17" s="4" t="n">
        <v>44279.76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2026-07-23T23:23:20Z</dcterms:created>
  <dcterms:modified xsi:type="dcterms:W3CDTF">2026-07-23T23:23:20Z</dcterms:modified>
</cp:coreProperties>
</file>