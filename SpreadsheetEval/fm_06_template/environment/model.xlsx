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临时草稿" sheetId="11" state="visible" r:id="rId11"/>
    <sheet name="临时草稿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地产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8536.440000000001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0.4195</v>
      </c>
      <c r="C4" s="3" t="inlineStr"/>
    </row>
    <row r="5">
      <c r="A5" s="3" t="inlineStr">
        <is>
          <t>费用率 Opex %</t>
        </is>
      </c>
      <c r="B5" s="5" t="n">
        <v>0.276</v>
      </c>
      <c r="C5" s="3" t="inlineStr"/>
    </row>
    <row r="6">
      <c r="A6" s="3" t="inlineStr">
        <is>
          <t>所得税率 Tax rate</t>
        </is>
      </c>
      <c r="B6" s="5" t="n">
        <v>0.2046</v>
      </c>
      <c r="C6" s="3" t="inlineStr"/>
    </row>
    <row r="7">
      <c r="A7" s="3" t="inlineStr">
        <is>
          <t>资本开支率 Capex %</t>
        </is>
      </c>
      <c r="B7" s="5" t="n">
        <v>0.08160000000000001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74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0.07729999999999999</v>
      </c>
      <c r="C12" s="3" t="inlineStr"/>
    </row>
    <row r="13">
      <c r="A13" s="3" t="inlineStr">
        <is>
          <t>WACC</t>
        </is>
      </c>
      <c r="B13" s="5" t="n">
        <v>0.1039</v>
      </c>
      <c r="C13" s="3" t="inlineStr"/>
    </row>
    <row r="14">
      <c r="A14" s="3" t="inlineStr">
        <is>
          <t>永续增长 Terminal growth</t>
        </is>
      </c>
      <c r="B14" s="5" t="n">
        <v>0.0273</v>
      </c>
      <c r="C14" s="3" t="inlineStr"/>
    </row>
    <row r="15">
      <c r="A15" s="3" t="inlineStr">
        <is>
          <t>股本 Shares</t>
        </is>
      </c>
      <c r="B15" s="6" t="n">
        <v>1925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3087.97</v>
      </c>
      <c r="C16" s="3" t="inlineStr"/>
    </row>
    <row r="17">
      <c r="A17" s="3" t="inlineStr">
        <is>
          <t>期初固定资产原值</t>
        </is>
      </c>
      <c r="B17" s="4" t="n">
        <v>11106.99</v>
      </c>
      <c r="C17" s="3" t="inlineStr"/>
    </row>
    <row r="18">
      <c r="A18" s="3" t="inlineStr">
        <is>
          <t>期初累计折旧</t>
        </is>
      </c>
      <c r="B18" s="4" t="n">
        <v>2054.54</v>
      </c>
      <c r="C18" s="3" t="inlineStr"/>
    </row>
    <row r="19">
      <c r="A19" s="3" t="inlineStr">
        <is>
          <t>期初有息负债</t>
        </is>
      </c>
      <c r="B19" s="4" t="n">
        <v>5592</v>
      </c>
      <c r="C19" s="3" t="inlineStr"/>
    </row>
    <row r="20">
      <c r="A20" s="3" t="inlineStr">
        <is>
          <t>残值率 Salvage %</t>
        </is>
      </c>
      <c r="B20" s="5" t="n">
        <v>0.1109</v>
      </c>
      <c r="C20" s="3" t="inlineStr"/>
    </row>
    <row r="21">
      <c r="A21" s="3" t="inlineStr">
        <is>
          <t>毛利率年提升 GM ramp/yr</t>
        </is>
      </c>
      <c r="B21" s="5" t="n">
        <v>0.0199</v>
      </c>
      <c r="C21" s="3" t="inlineStr"/>
    </row>
    <row r="22">
      <c r="A22" s="3" t="inlineStr">
        <is>
          <t>固定费用 Fixed opex</t>
        </is>
      </c>
      <c r="B22" s="4" t="n">
        <v>1349.37</v>
      </c>
      <c r="C22" s="3" t="inlineStr"/>
    </row>
    <row r="23">
      <c r="A23" s="3" t="inlineStr">
        <is>
          <t>退出倍数 Exit EV/EBIT</t>
        </is>
      </c>
      <c r="B23" s="3" t="n">
        <v>6.92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0.3367</v>
      </c>
    </row>
    <row r="25">
      <c r="A25" s="3" t="inlineStr">
        <is>
          <t>收入增速 2026 Growth</t>
        </is>
      </c>
      <c r="B25" s="5" t="n">
        <v>0.3088</v>
      </c>
    </row>
    <row r="26">
      <c r="A26" s="3" t="inlineStr">
        <is>
          <t>收入增速 2027 Growth</t>
        </is>
      </c>
      <c r="B26" s="5" t="n">
        <v>0.133</v>
      </c>
    </row>
    <row r="27">
      <c r="A27" s="3" t="inlineStr">
        <is>
          <t>收入增速 2028 Growth</t>
        </is>
      </c>
      <c r="B27" s="5" t="n">
        <v>0.3055</v>
      </c>
    </row>
    <row r="28">
      <c r="A28" s="3" t="inlineStr">
        <is>
          <t>收入增速 2029 Growth</t>
        </is>
      </c>
      <c r="B28" s="5" t="n">
        <v>0.305</v>
      </c>
    </row>
    <row r="29">
      <c r="A29" s="3" t="inlineStr">
        <is>
          <t>还本 2025 Debt repayment</t>
        </is>
      </c>
      <c r="B29" s="4" t="n">
        <v>597.77</v>
      </c>
    </row>
    <row r="30">
      <c r="A30" s="3" t="inlineStr">
        <is>
          <t>还本 2026 Debt repayment</t>
        </is>
      </c>
      <c r="B30" s="4" t="n">
        <v>1078.51</v>
      </c>
    </row>
    <row r="31">
      <c r="A31" s="3" t="inlineStr">
        <is>
          <t>还本 2027 Debt repayment</t>
        </is>
      </c>
      <c r="B31" s="4" t="n">
        <v>425.98</v>
      </c>
    </row>
    <row r="32">
      <c r="A32" s="3" t="inlineStr">
        <is>
          <t>还本 2028 Debt repayment</t>
        </is>
      </c>
      <c r="B32" s="4" t="n">
        <v>376.82</v>
      </c>
    </row>
    <row r="33">
      <c r="A33" s="3" t="inlineStr">
        <is>
          <t>还本 2029 Debt repayment</t>
        </is>
      </c>
      <c r="B33" s="4" t="n">
        <v>383.71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8536.440000000001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11106.99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2054.54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5592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1239.54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1004.66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597.36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</row>
    <row r="4">
      <c r="A4" s="7" t="inlineStr">
        <is>
          <t>加:折旧摊销 +D&amp;A</t>
        </is>
      </c>
    </row>
    <row r="5">
      <c r="A5" s="7" t="inlineStr">
        <is>
          <t>减:ΔNWC -ΔNWC</t>
        </is>
      </c>
    </row>
    <row r="6">
      <c r="A6" s="7" t="inlineStr">
        <is>
          <t>经营活动现金流 CFO</t>
        </is>
      </c>
    </row>
    <row r="7">
      <c r="A7" s="7" t="inlineStr">
        <is>
          <t>资本开支 Capex</t>
        </is>
      </c>
    </row>
    <row r="8">
      <c r="A8" s="7" t="inlineStr">
        <is>
          <t>投资活动现金流 CFI</t>
        </is>
      </c>
    </row>
    <row r="9">
      <c r="A9" s="7" t="inlineStr">
        <is>
          <t>偿还债务 Debt repay</t>
        </is>
      </c>
    </row>
    <row r="10">
      <c r="A10" s="7" t="inlineStr">
        <is>
          <t>筹资活动现金流 CFF</t>
        </is>
      </c>
    </row>
    <row r="11">
      <c r="A11" s="7" t="inlineStr">
        <is>
          <t>现金净变动 Net Δcash</t>
        </is>
      </c>
    </row>
    <row r="12">
      <c r="A12" s="7" t="inlineStr">
        <is>
          <t>期初现金 Cash begin</t>
        </is>
      </c>
    </row>
    <row r="13">
      <c r="A13" s="7" t="inlineStr">
        <is>
          <t>期末现金 Cash end</t>
        </is>
      </c>
      <c r="B13" s="4" t="n">
        <v>3087.97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3087.97</v>
      </c>
    </row>
    <row r="4">
      <c r="A4" s="7" t="inlineStr">
        <is>
          <t>应收 AR</t>
        </is>
      </c>
      <c r="B4" s="4" t="n">
        <v>1239.54</v>
      </c>
    </row>
    <row r="5">
      <c r="A5" s="7" t="inlineStr">
        <is>
          <t>存货 Inventory</t>
        </is>
      </c>
      <c r="B5" s="4" t="n">
        <v>1004.66</v>
      </c>
    </row>
    <row r="6">
      <c r="A6" s="7" t="inlineStr">
        <is>
          <t>净固定资产 Net PP&amp;E</t>
        </is>
      </c>
      <c r="B6" s="4" t="n">
        <v>9052.450000000001</v>
      </c>
    </row>
    <row r="7">
      <c r="A7" s="7" t="inlineStr">
        <is>
          <t>资产合计 Total assets</t>
        </is>
      </c>
    </row>
    <row r="8">
      <c r="A8" s="7" t="inlineStr">
        <is>
          <t>应付 AP</t>
        </is>
      </c>
      <c r="B8" s="4" t="n">
        <v>597.36</v>
      </c>
    </row>
    <row r="9">
      <c r="A9" s="7" t="inlineStr">
        <is>
          <t>有息负债 Debt</t>
        </is>
      </c>
      <c r="B9" s="4" t="n">
        <v>5592</v>
      </c>
    </row>
    <row r="10">
      <c r="A10" s="7" t="inlineStr">
        <is>
          <t>负债合计 Total liab</t>
        </is>
      </c>
    </row>
    <row r="11">
      <c r="A11" s="7" t="inlineStr">
        <is>
          <t>所有者权益 Equity</t>
        </is>
      </c>
      <c r="B11" s="4" t="n">
        <v>8195.26</v>
      </c>
    </row>
    <row r="12">
      <c r="A12" s="7" t="inlineStr">
        <is>
          <t>负债+权益 Total L&amp;E</t>
        </is>
      </c>
    </row>
    <row r="13">
      <c r="A13" s="7" t="inlineStr">
        <is>
          <t>平衡校验 Check(=0)</t>
        </is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</row>
    <row r="4">
      <c r="A4" s="7" t="inlineStr">
        <is>
          <t>NOPAT=EBIT×(1-tax)</t>
        </is>
      </c>
    </row>
    <row r="5">
      <c r="A5" s="7" t="inlineStr">
        <is>
          <t>加:D&amp;A</t>
        </is>
      </c>
    </row>
    <row r="6">
      <c r="A6" s="7" t="inlineStr">
        <is>
          <t>减:Capex</t>
        </is>
      </c>
    </row>
    <row r="7">
      <c r="A7" s="7" t="inlineStr">
        <is>
          <t>减:ΔNWC</t>
        </is>
      </c>
    </row>
    <row r="8">
      <c r="A8" s="7" t="inlineStr">
        <is>
          <t>无杠杆自由现金流 FCFF</t>
        </is>
      </c>
    </row>
    <row r="9">
      <c r="A9" s="7" t="inlineStr">
        <is>
          <t>折现因子 DF</t>
        </is>
      </c>
    </row>
    <row r="10">
      <c r="A10" s="7" t="inlineStr">
        <is>
          <t>FCF现值 PV</t>
        </is>
      </c>
    </row>
    <row r="12">
      <c r="A12" s="7" t="inlineStr">
        <is>
          <t>预测期PV合计 Σ PV(FCF)</t>
        </is>
      </c>
    </row>
    <row r="13">
      <c r="A13" s="7" t="inlineStr">
        <is>
          <t>终值 Terminal value</t>
        </is>
      </c>
    </row>
    <row r="14">
      <c r="A14" s="7" t="inlineStr">
        <is>
          <t>终值现值 PV(TV)</t>
        </is>
      </c>
    </row>
    <row r="15">
      <c r="A15" s="7" t="inlineStr">
        <is>
          <t>企业价值 Enterprise value</t>
        </is>
      </c>
    </row>
    <row r="16">
      <c r="A16" s="7" t="inlineStr">
        <is>
          <t>净负债 Net debt</t>
        </is>
      </c>
    </row>
    <row r="17">
      <c r="A17" s="7" t="inlineStr">
        <is>
          <t>股权价值 Equity value</t>
        </is>
      </c>
    </row>
    <row r="18">
      <c r="A18" s="7" t="inlineStr">
        <is>
          <t>每股价值 Value per share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14853.58</v>
      </c>
      <c r="C3" s="3" t="inlineStr">
        <is>
          <t>old</t>
        </is>
      </c>
    </row>
    <row r="4">
      <c r="A4" s="3" t="inlineStr">
        <is>
          <t>调整</t>
        </is>
      </c>
      <c r="B4" s="4" t="n">
        <v>51285.6</v>
      </c>
      <c r="C4" s="3" t="inlineStr">
        <is>
          <t>old</t>
        </is>
      </c>
    </row>
    <row r="5">
      <c r="A5" s="3" t="inlineStr">
        <is>
          <t>预留</t>
        </is>
      </c>
      <c r="B5" s="4" t="n">
        <v>29155.24</v>
      </c>
      <c r="C5" s="3" t="inlineStr">
        <is>
          <t>old</t>
        </is>
      </c>
    </row>
    <row r="6">
      <c r="A6" s="3" t="inlineStr">
        <is>
          <t>TBD</t>
        </is>
      </c>
      <c r="B6" s="4" t="n">
        <v>74789.75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89428.44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59079.51</v>
      </c>
      <c r="C8" s="3" t="inlineStr">
        <is>
          <t>old</t>
        </is>
      </c>
    </row>
    <row r="9">
      <c r="A9" s="3" t="inlineStr">
        <is>
          <t>TBD</t>
        </is>
      </c>
      <c r="B9" s="4" t="n">
        <v>33728.45</v>
      </c>
      <c r="C9" s="3" t="inlineStr">
        <is>
          <t>废弃</t>
        </is>
      </c>
    </row>
    <row r="10">
      <c r="A10" s="3" t="inlineStr">
        <is>
          <t>预留</t>
        </is>
      </c>
      <c r="B10" s="4" t="n">
        <v>15403.96</v>
      </c>
      <c r="C10" s="3" t="inlineStr"/>
    </row>
    <row r="11">
      <c r="A11" s="3" t="inlineStr">
        <is>
          <t>调整</t>
        </is>
      </c>
      <c r="B11" s="4" t="n">
        <v>48858.81</v>
      </c>
      <c r="C11" s="3" t="inlineStr"/>
    </row>
    <row r="12">
      <c r="A12" s="3" t="inlineStr">
        <is>
          <t>杂项</t>
        </is>
      </c>
      <c r="B12" s="4" t="n">
        <v>69340.50999999999</v>
      </c>
      <c r="C12" s="3" t="inlineStr">
        <is>
          <t>废弃</t>
        </is>
      </c>
    </row>
    <row r="13">
      <c r="A13" s="3" t="inlineStr">
        <is>
          <t>Misc</t>
        </is>
      </c>
      <c r="B13" s="4" t="n">
        <v>47008.4</v>
      </c>
      <c r="C13" s="3" t="inlineStr">
        <is>
          <t>old</t>
        </is>
      </c>
    </row>
    <row r="14">
      <c r="A14" s="3" t="inlineStr">
        <is>
          <t>TBD</t>
        </is>
      </c>
      <c r="B14" s="4" t="n">
        <v>82009.07000000001</v>
      </c>
      <c r="C14" s="3" t="inlineStr"/>
    </row>
    <row r="15">
      <c r="A15" s="3" t="inlineStr">
        <is>
          <t>预留</t>
        </is>
      </c>
      <c r="B15" s="4" t="n">
        <v>79949.46000000001</v>
      </c>
      <c r="C15" s="3" t="inlineStr"/>
    </row>
    <row r="16">
      <c r="A16" s="3" t="inlineStr">
        <is>
          <t>Misc</t>
        </is>
      </c>
      <c r="B16" s="4" t="n">
        <v>11167.2</v>
      </c>
      <c r="C16" s="3" t="inlineStr">
        <is>
          <t>old</t>
        </is>
      </c>
    </row>
    <row r="17">
      <c r="A17" s="3" t="inlineStr">
        <is>
          <t>调整</t>
        </is>
      </c>
      <c r="B17" s="4" t="n">
        <v>19916.85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49410.8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82014.5</v>
      </c>
      <c r="C4" s="3" t="inlineStr">
        <is>
          <t>check later</t>
        </is>
      </c>
    </row>
    <row r="5">
      <c r="A5" s="3" t="inlineStr">
        <is>
          <t>Misc</t>
        </is>
      </c>
      <c r="B5" s="4" t="n">
        <v>1222.07</v>
      </c>
      <c r="C5" s="3" t="inlineStr">
        <is>
          <t>old</t>
        </is>
      </c>
    </row>
    <row r="6">
      <c r="A6" s="3" t="inlineStr">
        <is>
          <t>杂项</t>
        </is>
      </c>
      <c r="B6" s="4" t="n">
        <v>27887.62</v>
      </c>
      <c r="C6" s="3" t="inlineStr"/>
    </row>
    <row r="7">
      <c r="A7" s="3" t="inlineStr">
        <is>
          <t>调整</t>
        </is>
      </c>
      <c r="B7" s="4" t="n">
        <v>88838.52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26502.69</v>
      </c>
      <c r="C8" s="3" t="inlineStr">
        <is>
          <t>old</t>
        </is>
      </c>
    </row>
    <row r="9">
      <c r="A9" s="3" t="inlineStr">
        <is>
          <t>杂项</t>
        </is>
      </c>
      <c r="B9" s="4" t="n">
        <v>54809.42</v>
      </c>
      <c r="C9" s="3" t="inlineStr"/>
    </row>
    <row r="10">
      <c r="A10" s="3" t="inlineStr">
        <is>
          <t>TBD</t>
        </is>
      </c>
      <c r="B10" s="4" t="n">
        <v>15055.78</v>
      </c>
      <c r="C1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68915.8</v>
      </c>
      <c r="C3" s="3" t="inlineStr"/>
    </row>
    <row r="4">
      <c r="A4" s="3" t="inlineStr">
        <is>
          <t>调整</t>
        </is>
      </c>
      <c r="B4" s="4" t="n">
        <v>48647.77</v>
      </c>
      <c r="C4" s="3" t="inlineStr"/>
    </row>
    <row r="5">
      <c r="A5" s="3" t="inlineStr">
        <is>
          <t>杂项</t>
        </is>
      </c>
      <c r="B5" s="4" t="n">
        <v>18028.04</v>
      </c>
      <c r="C5" s="3" t="inlineStr">
        <is>
          <t>check later</t>
        </is>
      </c>
    </row>
    <row r="6">
      <c r="A6" s="3" t="inlineStr">
        <is>
          <t>TBD</t>
        </is>
      </c>
      <c r="B6" s="4" t="n">
        <v>47827.99</v>
      </c>
      <c r="C6" s="3" t="inlineStr"/>
    </row>
    <row r="7">
      <c r="A7" s="3" t="inlineStr">
        <is>
          <t>调整</t>
        </is>
      </c>
      <c r="B7" s="4" t="n">
        <v>29495.04</v>
      </c>
      <c r="C7" s="3" t="inlineStr">
        <is>
          <t>old</t>
        </is>
      </c>
    </row>
    <row r="8">
      <c r="A8" s="3" t="inlineStr">
        <is>
          <t>Misc</t>
        </is>
      </c>
      <c r="B8" s="4" t="n">
        <v>22015.53</v>
      </c>
      <c r="C8" s="3" t="inlineStr">
        <is>
          <t>check later</t>
        </is>
      </c>
    </row>
    <row r="9">
      <c r="A9" s="3" t="inlineStr">
        <is>
          <t>TBD</t>
        </is>
      </c>
      <c r="B9" s="4" t="n">
        <v>32793.48</v>
      </c>
      <c r="C9" s="3" t="inlineStr"/>
    </row>
    <row r="10">
      <c r="A10" s="3" t="inlineStr">
        <is>
          <t>Misc</t>
        </is>
      </c>
      <c r="B10" s="4" t="n">
        <v>30563.43</v>
      </c>
      <c r="C10" s="3" t="inlineStr"/>
    </row>
    <row r="11">
      <c r="A11" s="3" t="inlineStr">
        <is>
          <t>TBD</t>
        </is>
      </c>
      <c r="B11" s="4" t="n">
        <v>26785.21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23726.68</v>
      </c>
      <c r="C12" s="3" t="inlineStr"/>
    </row>
    <row r="13">
      <c r="A13" s="3" t="inlineStr">
        <is>
          <t>调整</t>
        </is>
      </c>
      <c r="B13" s="4" t="n">
        <v>68936.47</v>
      </c>
      <c r="C13" s="3" t="inlineStr">
        <is>
          <t>old</t>
        </is>
      </c>
    </row>
    <row r="14">
      <c r="A14" s="3" t="inlineStr">
        <is>
          <t>调整</t>
        </is>
      </c>
      <c r="B14" s="4" t="n">
        <v>65905.92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4500.76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2026-07-23T23:29:34Z</dcterms:created>
  <dcterms:modified xsi:type="dcterms:W3CDTF">2026-07-23T23:29:34Z</dcterms:modified>
</cp:coreProperties>
</file>