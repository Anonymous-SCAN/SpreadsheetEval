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Scratch" sheetId="11" state="visible" r:id="rId11"/>
    <sheet name="Archive_20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37603.74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0.4711</v>
      </c>
      <c r="C4" s="3" t="inlineStr"/>
    </row>
    <row r="5">
      <c r="A5" s="3" t="inlineStr">
        <is>
          <t>费用率 Opex %</t>
        </is>
      </c>
      <c r="B5" s="5" t="n">
        <v>0.1978</v>
      </c>
      <c r="C5" s="3" t="inlineStr"/>
    </row>
    <row r="6">
      <c r="A6" s="3" t="inlineStr">
        <is>
          <t>所得税率 Tax rate</t>
        </is>
      </c>
      <c r="B6" s="5" t="n">
        <v>0.2158</v>
      </c>
      <c r="C6" s="3" t="inlineStr"/>
    </row>
    <row r="7">
      <c r="A7" s="3" t="inlineStr">
        <is>
          <t>资本开支率 Capex %</t>
        </is>
      </c>
      <c r="B7" s="5" t="n">
        <v>0.0823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57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39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0.08699999999999999</v>
      </c>
      <c r="C12" s="3" t="inlineStr"/>
    </row>
    <row r="13">
      <c r="A13" s="3" t="inlineStr">
        <is>
          <t>WACC</t>
        </is>
      </c>
      <c r="B13" s="5" t="n">
        <v>0.1014</v>
      </c>
      <c r="C13" s="3" t="inlineStr"/>
    </row>
    <row r="14">
      <c r="A14" s="3" t="inlineStr">
        <is>
          <t>永续增长 Terminal growth</t>
        </is>
      </c>
      <c r="B14" s="5" t="n">
        <v>0.0329</v>
      </c>
      <c r="C14" s="3" t="inlineStr"/>
    </row>
    <row r="15">
      <c r="A15" s="3" t="inlineStr">
        <is>
          <t>股本 Shares</t>
        </is>
      </c>
      <c r="B15" s="6" t="n">
        <v>2477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3022.63</v>
      </c>
      <c r="C16" s="3" t="inlineStr"/>
    </row>
    <row r="17">
      <c r="A17" s="3" t="inlineStr">
        <is>
          <t>期初固定资产原值</t>
        </is>
      </c>
      <c r="B17" s="4" t="n">
        <v>10263.63</v>
      </c>
      <c r="C17" s="3" t="inlineStr"/>
    </row>
    <row r="18">
      <c r="A18" s="3" t="inlineStr">
        <is>
          <t>期初累计折旧</t>
        </is>
      </c>
      <c r="B18" s="4" t="n">
        <v>2132.06</v>
      </c>
      <c r="C18" s="3" t="inlineStr"/>
    </row>
    <row r="19">
      <c r="A19" s="3" t="inlineStr">
        <is>
          <t>期初有息负债</t>
        </is>
      </c>
      <c r="B19" s="4" t="n">
        <v>5910.81</v>
      </c>
      <c r="C19" s="3" t="inlineStr"/>
    </row>
    <row r="20">
      <c r="A20" s="3" t="inlineStr">
        <is>
          <t>残值率 Salvage %</t>
        </is>
      </c>
      <c r="B20" s="5" t="n">
        <v>0.1402</v>
      </c>
      <c r="C20" s="3" t="inlineStr"/>
    </row>
    <row r="21">
      <c r="A21" s="3" t="inlineStr">
        <is>
          <t>毛利率年提升 GM ramp/yr</t>
        </is>
      </c>
      <c r="B21" s="5" t="n">
        <v>0.0206</v>
      </c>
      <c r="C21" s="3" t="inlineStr"/>
    </row>
    <row r="22">
      <c r="A22" s="3" t="inlineStr">
        <is>
          <t>固定费用 Fixed opex</t>
        </is>
      </c>
      <c r="B22" s="4" t="n">
        <v>1378.23</v>
      </c>
      <c r="C22" s="3" t="inlineStr"/>
    </row>
    <row r="23">
      <c r="A23" s="3" t="inlineStr">
        <is>
          <t>退出倍数 Exit EV/EBIT</t>
        </is>
      </c>
      <c r="B23" s="3" t="n">
        <v>11.72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0.1682</v>
      </c>
    </row>
    <row r="25">
      <c r="A25" s="3" t="inlineStr">
        <is>
          <t>收入增速 2025 Growth</t>
        </is>
      </c>
      <c r="B25" s="5" t="n">
        <v>0.2147</v>
      </c>
    </row>
    <row r="26">
      <c r="A26" s="3" t="inlineStr">
        <is>
          <t>收入增速 2026 Growth</t>
        </is>
      </c>
      <c r="B26" s="5" t="n">
        <v>0.3183</v>
      </c>
    </row>
    <row r="27">
      <c r="A27" s="3" t="inlineStr">
        <is>
          <t>收入增速 2027 Growth</t>
        </is>
      </c>
      <c r="B27" s="5" t="n">
        <v>0.1445</v>
      </c>
    </row>
    <row r="28">
      <c r="A28" s="3" t="inlineStr">
        <is>
          <t>收入增速 2028 Growth</t>
        </is>
      </c>
      <c r="B28" s="5" t="n">
        <v>0.25</v>
      </c>
    </row>
    <row r="29">
      <c r="A29" s="3" t="inlineStr">
        <is>
          <t>还本 2024 Debt repayment</t>
        </is>
      </c>
      <c r="B29" s="4" t="n">
        <v>1026.81</v>
      </c>
    </row>
    <row r="30">
      <c r="A30" s="3" t="inlineStr">
        <is>
          <t>还本 2025 Debt repayment</t>
        </is>
      </c>
      <c r="B30" s="4" t="n">
        <v>1050.72</v>
      </c>
    </row>
    <row r="31">
      <c r="A31" s="3" t="inlineStr">
        <is>
          <t>还本 2026 Debt repayment</t>
        </is>
      </c>
      <c r="B31" s="4" t="n">
        <v>420.88</v>
      </c>
    </row>
    <row r="32">
      <c r="A32" s="3" t="inlineStr">
        <is>
          <t>还本 2027 Debt repayment</t>
        </is>
      </c>
      <c r="B32" s="4" t="n">
        <v>769.58</v>
      </c>
    </row>
    <row r="33">
      <c r="A33" s="3" t="inlineStr">
        <is>
          <t>还本 2028 Debt repayment</t>
        </is>
      </c>
      <c r="B33" s="4" t="n">
        <v>956.85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37603.74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Revenue!D3*Assumptions!B5</f>
        <v/>
      </c>
      <c r="E4">
        <f>Revenue!E3*Assumptions!B5</f>
        <v/>
      </c>
      <c r="F4">
        <f>Revenue!F3*Assumptions!B5</f>
        <v/>
      </c>
      <c r="G4">
        <f>Revenue!G3*Assumptions!B5</f>
        <v/>
      </c>
    </row>
    <row r="5">
      <c r="A5" s="7" t="inlineStr">
        <is>
          <t>期末原值 Gross end</t>
        </is>
      </c>
      <c r="B5" s="4" t="n">
        <v>10263.63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  <c r="G6">
        <f>G3*(1+Assumptions!B20)/Assumptions!B8</f>
        <v/>
      </c>
    </row>
    <row r="7" hidden="1">
      <c r="A7" s="7" t="inlineStr">
        <is>
          <t>累计折旧 Accum. dep</t>
        </is>
      </c>
      <c r="B7" s="4" t="n">
        <v>2132.06</v>
      </c>
      <c r="C7">
        <f>B7-C6</f>
        <v/>
      </c>
      <c r="D7">
        <f>C7-D6</f>
        <v/>
      </c>
      <c r="E7">
        <f>D7-E6</f>
        <v/>
      </c>
      <c r="F7">
        <f>E7-F6</f>
        <v/>
      </c>
      <c r="G7">
        <f>F7-G6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C3*Assumptions!B5-Assumptions!B22</f>
        <v/>
      </c>
      <c r="D6">
        <f>D3*Assumptions!B5-Assumptions!B22</f>
        <v/>
      </c>
      <c r="E6">
        <f>E3*Assumptions!B5-Assumptions!B22</f>
        <v/>
      </c>
      <c r="F6">
        <f>F3*Assumptions!B5-Assumptions!B22</f>
        <v/>
      </c>
      <c r="G6">
        <f>G3*Assumptions!B5-Assumptions!B22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MAX(C10,0)*Assumptions!B4</f>
        <v/>
      </c>
      <c r="D11">
        <f>MAX(D10,0)*Assumptions!B4</f>
        <v/>
      </c>
      <c r="E11">
        <f>MAX(E10,0)*Assumptions!B4</f>
        <v/>
      </c>
      <c r="F11">
        <f>MAX(F10,0)*Assumptions!B4</f>
        <v/>
      </c>
      <c r="G11">
        <f>MAX(G10,0)*Assumptions!B4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5910.81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5872.36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4468.13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2125.09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C6+B6</f>
        <v/>
      </c>
      <c r="D7">
        <f>D6+C6</f>
        <v/>
      </c>
      <c r="E7">
        <f>E6+D6</f>
        <v/>
      </c>
      <c r="F7">
        <f>F6+E6</f>
        <v/>
      </c>
      <c r="G7">
        <f>G6+F6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3022.63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3022.63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5872.36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4468.13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8131.57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2125.09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5910.81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13458.79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83458.22</v>
      </c>
      <c r="C3" s="3" t="inlineStr">
        <is>
          <t>废弃</t>
        </is>
      </c>
    </row>
    <row r="4">
      <c r="A4" s="3" t="inlineStr">
        <is>
          <t>TBD</t>
        </is>
      </c>
      <c r="B4" s="4" t="n">
        <v>76856.34</v>
      </c>
      <c r="C4" s="3" t="inlineStr">
        <is>
          <t>old</t>
        </is>
      </c>
    </row>
    <row r="5">
      <c r="A5" s="3" t="inlineStr">
        <is>
          <t>Misc</t>
        </is>
      </c>
      <c r="B5" s="4" t="n">
        <v>45993.66</v>
      </c>
      <c r="C5" s="3" t="inlineStr">
        <is>
          <t>废弃</t>
        </is>
      </c>
    </row>
    <row r="6">
      <c r="A6" s="3" t="inlineStr">
        <is>
          <t>Misc</t>
        </is>
      </c>
      <c r="B6" s="4" t="n">
        <v>71275.71000000001</v>
      </c>
      <c r="C6" s="3" t="inlineStr">
        <is>
          <t>check later</t>
        </is>
      </c>
    </row>
    <row r="7">
      <c r="A7" s="3" t="inlineStr">
        <is>
          <t>Misc</t>
        </is>
      </c>
      <c r="B7" s="4" t="n">
        <v>61247.31</v>
      </c>
      <c r="C7" s="3" t="inlineStr"/>
    </row>
    <row r="8">
      <c r="A8" s="3" t="inlineStr">
        <is>
          <t>TBD</t>
        </is>
      </c>
      <c r="B8" s="4" t="n">
        <v>70623.83</v>
      </c>
      <c r="C8" s="3" t="inlineStr">
        <is>
          <t>old</t>
        </is>
      </c>
    </row>
    <row r="9">
      <c r="A9" s="3" t="inlineStr">
        <is>
          <t>杂项</t>
        </is>
      </c>
      <c r="B9" s="4" t="n">
        <v>76940.64999999999</v>
      </c>
      <c r="C9" s="3" t="inlineStr">
        <is>
          <t>old</t>
        </is>
      </c>
    </row>
    <row r="10">
      <c r="A10" s="3" t="inlineStr">
        <is>
          <t>TBD</t>
        </is>
      </c>
      <c r="B10" s="4" t="n">
        <v>82479.14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4379.37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28622.63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36936.28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41935.19</v>
      </c>
      <c r="C14" s="3" t="inlineStr">
        <is>
          <t>check later</t>
        </is>
      </c>
    </row>
    <row r="15">
      <c r="A15" s="3" t="inlineStr">
        <is>
          <t>预留</t>
        </is>
      </c>
      <c r="B15" s="4" t="n">
        <v>16916.84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68697.69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50767.45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80913.75</v>
      </c>
      <c r="C3" s="3" t="inlineStr"/>
    </row>
    <row r="4">
      <c r="A4" s="3" t="inlineStr">
        <is>
          <t>预留</t>
        </is>
      </c>
      <c r="B4" s="4" t="n">
        <v>43405.53</v>
      </c>
      <c r="C4" s="3" t="inlineStr">
        <is>
          <t>check later</t>
        </is>
      </c>
    </row>
    <row r="5">
      <c r="A5" s="3" t="inlineStr">
        <is>
          <t>预留</t>
        </is>
      </c>
      <c r="B5" s="4" t="n">
        <v>71223.62</v>
      </c>
      <c r="C5" s="3" t="inlineStr">
        <is>
          <t>废弃</t>
        </is>
      </c>
    </row>
    <row r="6">
      <c r="A6" s="3" t="inlineStr">
        <is>
          <t>Misc</t>
        </is>
      </c>
      <c r="B6" s="4" t="n">
        <v>83880.39999999999</v>
      </c>
      <c r="C6" s="3" t="inlineStr">
        <is>
          <t>old</t>
        </is>
      </c>
    </row>
    <row r="7">
      <c r="A7" s="3" t="inlineStr">
        <is>
          <t>调整</t>
        </is>
      </c>
      <c r="B7" s="4" t="n">
        <v>84000.78999999999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55730.08</v>
      </c>
      <c r="C8" s="3" t="inlineStr">
        <is>
          <t>废弃</t>
        </is>
      </c>
    </row>
    <row r="9">
      <c r="A9" s="3" t="inlineStr">
        <is>
          <t>杂项</t>
        </is>
      </c>
      <c r="B9" s="4" t="n">
        <v>69018.50999999999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23964.13</v>
      </c>
      <c r="C10" s="3" t="inlineStr">
        <is>
          <t>old</t>
        </is>
      </c>
    </row>
    <row r="11">
      <c r="A11" s="3" t="inlineStr">
        <is>
          <t>Misc</t>
        </is>
      </c>
      <c r="B11" s="4" t="n">
        <v>2382.52</v>
      </c>
      <c r="C11" s="3" t="inlineStr"/>
    </row>
    <row r="12">
      <c r="A12" s="3" t="inlineStr">
        <is>
          <t>TBD</t>
        </is>
      </c>
      <c r="B12" s="4" t="n">
        <v>53933.3</v>
      </c>
      <c r="C12" s="3" t="inlineStr"/>
    </row>
    <row r="13">
      <c r="A13" s="3" t="inlineStr">
        <is>
          <t>预留</t>
        </is>
      </c>
      <c r="B13" s="4" t="n">
        <v>83768.19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67315.00999999999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40481.55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22430.36</v>
      </c>
      <c r="C3" s="3" t="inlineStr"/>
    </row>
    <row r="4">
      <c r="A4" s="3" t="inlineStr">
        <is>
          <t>调整</t>
        </is>
      </c>
      <c r="B4" s="4" t="n">
        <v>15954.38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76886.39999999999</v>
      </c>
      <c r="C5" s="3" t="inlineStr">
        <is>
          <t>old</t>
        </is>
      </c>
    </row>
    <row r="6">
      <c r="A6" s="3" t="inlineStr">
        <is>
          <t>调整</t>
        </is>
      </c>
      <c r="B6" s="4" t="n">
        <v>64803.04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43847.69</v>
      </c>
      <c r="C7" s="3" t="inlineStr">
        <is>
          <t>check later</t>
        </is>
      </c>
    </row>
    <row r="8">
      <c r="A8" s="3" t="inlineStr">
        <is>
          <t>Misc</t>
        </is>
      </c>
      <c r="B8" s="4" t="n">
        <v>65861.73</v>
      </c>
      <c r="C8" s="3" t="inlineStr">
        <is>
          <t>old</t>
        </is>
      </c>
    </row>
    <row r="9">
      <c r="A9" s="3" t="inlineStr">
        <is>
          <t>调整</t>
        </is>
      </c>
      <c r="B9" s="4" t="n">
        <v>47886.39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6840.97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72203.84</v>
      </c>
      <c r="C11" s="3" t="inlineStr"/>
    </row>
    <row r="12">
      <c r="A12" s="3" t="inlineStr">
        <is>
          <t>Misc</t>
        </is>
      </c>
      <c r="B12" s="4" t="n">
        <v>2110.78</v>
      </c>
      <c r="C12" s="3" t="inlineStr">
        <is>
          <t>check later</t>
        </is>
      </c>
    </row>
    <row r="13">
      <c r="A13" s="3" t="inlineStr">
        <is>
          <t>TBD</t>
        </is>
      </c>
      <c r="B13" s="4" t="n">
        <v>35167.39</v>
      </c>
      <c r="C13" s="3" t="inlineStr"/>
    </row>
    <row r="14">
      <c r="A14" s="3" t="inlineStr">
        <is>
          <t>杂项</t>
        </is>
      </c>
      <c r="B14" s="4" t="n">
        <v>87642.7</v>
      </c>
      <c r="C14" s="3" t="inlineStr">
        <is>
          <t>old</t>
        </is>
      </c>
    </row>
    <row r="15">
      <c r="A15" s="3" t="inlineStr">
        <is>
          <t>Misc</t>
        </is>
      </c>
      <c r="B15" s="4" t="n">
        <v>54813.88</v>
      </c>
      <c r="C1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2026-07-23T23:34:20Z</dcterms:created>
  <dcterms:modified xsi:type="dcterms:W3CDTF">2026-07-23T23:34:20Z</dcterms:modified>
</cp:coreProperties>
</file>