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Notes_DoNotUse" sheetId="10" state="visible" r:id="rId10"/>
    <sheet name="Scratch" sheetId="11" state="visible" r:id="rId11"/>
    <sheet name="Archive_201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医疗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37603.74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0.4711</v>
      </c>
      <c r="C4" s="3" t="inlineStr"/>
    </row>
    <row r="5">
      <c r="A5" s="3" t="inlineStr">
        <is>
          <t>费用率 Opex %</t>
        </is>
      </c>
      <c r="B5" s="5" t="n">
        <v>0.1978</v>
      </c>
      <c r="C5" s="3" t="inlineStr"/>
    </row>
    <row r="6">
      <c r="A6" s="3" t="inlineStr">
        <is>
          <t>所得税率 Tax rate</t>
        </is>
      </c>
      <c r="B6" s="5" t="n">
        <v>0.2158</v>
      </c>
      <c r="C6" s="3" t="inlineStr"/>
    </row>
    <row r="7">
      <c r="A7" s="3" t="inlineStr">
        <is>
          <t>资本开支率 Capex %</t>
        </is>
      </c>
      <c r="B7" s="5" t="n">
        <v>0.0823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57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82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39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0.08699999999999999</v>
      </c>
      <c r="C12" s="3" t="inlineStr"/>
    </row>
    <row r="13">
      <c r="A13" s="3" t="inlineStr">
        <is>
          <t>WACC</t>
        </is>
      </c>
      <c r="B13" s="5" t="n">
        <v>0.1014</v>
      </c>
      <c r="C13" s="3" t="inlineStr"/>
    </row>
    <row r="14">
      <c r="A14" s="3" t="inlineStr">
        <is>
          <t>永续增长 Terminal growth</t>
        </is>
      </c>
      <c r="B14" s="5" t="n">
        <v>0.0329</v>
      </c>
      <c r="C14" s="3" t="inlineStr"/>
    </row>
    <row r="15">
      <c r="A15" s="3" t="inlineStr">
        <is>
          <t>股本 Shares</t>
        </is>
      </c>
      <c r="B15" s="6" t="n">
        <v>2477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3022.63</v>
      </c>
      <c r="C16" s="3" t="inlineStr"/>
    </row>
    <row r="17">
      <c r="A17" s="3" t="inlineStr">
        <is>
          <t>期初固定资产原值</t>
        </is>
      </c>
      <c r="B17" s="4" t="n">
        <v>10263.63</v>
      </c>
      <c r="C17" s="3" t="inlineStr"/>
    </row>
    <row r="18">
      <c r="A18" s="3" t="inlineStr">
        <is>
          <t>期初累计折旧</t>
        </is>
      </c>
      <c r="B18" s="4" t="n">
        <v>2132.06</v>
      </c>
      <c r="C18" s="3" t="inlineStr"/>
    </row>
    <row r="19">
      <c r="A19" s="3" t="inlineStr">
        <is>
          <t>期初有息负债</t>
        </is>
      </c>
      <c r="B19" s="4" t="n">
        <v>5910.81</v>
      </c>
      <c r="C19" s="3" t="inlineStr"/>
    </row>
    <row r="20">
      <c r="A20" s="3" t="inlineStr">
        <is>
          <t>残值率 Salvage %</t>
        </is>
      </c>
      <c r="B20" s="5" t="n">
        <v>0.1402</v>
      </c>
      <c r="C20" s="3" t="inlineStr"/>
    </row>
    <row r="21">
      <c r="A21" s="3" t="inlineStr">
        <is>
          <t>毛利率年提升 GM ramp/yr</t>
        </is>
      </c>
      <c r="B21" s="5" t="n">
        <v>0.0206</v>
      </c>
      <c r="C21" s="3" t="inlineStr"/>
    </row>
    <row r="22">
      <c r="A22" s="3" t="inlineStr">
        <is>
          <t>固定费用 Fixed opex</t>
        </is>
      </c>
      <c r="B22" s="4" t="n">
        <v>1378.23</v>
      </c>
      <c r="C22" s="3" t="inlineStr"/>
    </row>
    <row r="23">
      <c r="A23" s="3" t="inlineStr">
        <is>
          <t>退出倍数 Exit EV/EBIT</t>
        </is>
      </c>
      <c r="B23" s="3" t="n">
        <v>11.72</v>
      </c>
      <c r="C23" s="3" t="inlineStr">
        <is>
          <t>x</t>
        </is>
      </c>
    </row>
    <row r="24">
      <c r="A24" s="3" t="inlineStr">
        <is>
          <t>收入增速 2024 Growth</t>
        </is>
      </c>
      <c r="B24" s="5" t="n">
        <v>0.1682</v>
      </c>
    </row>
    <row r="25">
      <c r="A25" s="3" t="inlineStr">
        <is>
          <t>收入增速 2025 Growth</t>
        </is>
      </c>
      <c r="B25" s="5" t="n">
        <v>0.2147</v>
      </c>
    </row>
    <row r="26">
      <c r="A26" s="3" t="inlineStr">
        <is>
          <t>收入增速 2026 Growth</t>
        </is>
      </c>
      <c r="B26" s="5" t="n">
        <v>0.3183</v>
      </c>
    </row>
    <row r="27">
      <c r="A27" s="3" t="inlineStr">
        <is>
          <t>收入增速 2027 Growth</t>
        </is>
      </c>
      <c r="B27" s="5" t="n">
        <v>0.1445</v>
      </c>
    </row>
    <row r="28">
      <c r="A28" s="3" t="inlineStr">
        <is>
          <t>收入增速 2028 Growth</t>
        </is>
      </c>
      <c r="B28" s="5" t="n">
        <v>0.25</v>
      </c>
    </row>
    <row r="29">
      <c r="A29" s="3" t="inlineStr">
        <is>
          <t>还本 2024 Debt repayment</t>
        </is>
      </c>
      <c r="B29" s="4" t="n">
        <v>1026.81</v>
      </c>
    </row>
    <row r="30">
      <c r="A30" s="3" t="inlineStr">
        <is>
          <t>还本 2025 Debt repayment</t>
        </is>
      </c>
      <c r="B30" s="4" t="n">
        <v>1050.72</v>
      </c>
    </row>
    <row r="31">
      <c r="A31" s="3" t="inlineStr">
        <is>
          <t>还本 2026 Debt repayment</t>
        </is>
      </c>
      <c r="B31" s="4" t="n">
        <v>420.88</v>
      </c>
    </row>
    <row r="32">
      <c r="A32" s="3" t="inlineStr">
        <is>
          <t>还本 2027 Debt repayment</t>
        </is>
      </c>
      <c r="B32" s="4" t="n">
        <v>769.58</v>
      </c>
    </row>
    <row r="33">
      <c r="A33" s="3" t="inlineStr">
        <is>
          <t>还本 2028 Debt repayment</t>
        </is>
      </c>
      <c r="B33" s="4" t="n">
        <v>956.85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折旧按【期初原值】计提（非期末）：Depreciation = 期初原值 / 折旧年限。</t>
        </is>
      </c>
    </row>
    <row r="37">
      <c r="A37" t="inlineStr">
        <is>
          <t>• 折旧考虑残值：Depreciation = (期初原值 × (1−残值率)) / 折旧年限。</t>
        </is>
      </c>
    </row>
    <row r="38">
      <c r="A38" t="inlineStr">
        <is>
          <t>• 营运资本天数基数采用 360 天（非 365）：AR/存货/AP 均按 /360 计算。</t>
        </is>
      </c>
    </row>
    <row r="39">
      <c r="A39" t="inlineStr">
        <is>
          <t>• 利息按【期初与期末负债的平均】计提：Interest = (期初+期末)/2 × 利率。</t>
        </is>
      </c>
    </row>
    <row r="40">
      <c r="A40" t="inlineStr">
        <is>
          <t>• 期间费用 = 收入 × 费用率 + 固定费用（含一笔固定管理费）。</t>
        </is>
      </c>
    </row>
    <row r="41">
      <c r="A41" t="inlineStr">
        <is>
          <t>• 毛利率逐年提升：第 t 年毛利率 = 基准毛利率 + GM ramp ×(t−1)。</t>
        </is>
      </c>
    </row>
    <row r="42">
      <c r="A42" t="inlineStr">
        <is>
          <t>• 终值采用【退出倍数法】：TV = 末期EBIT × 退出倍数（非永续增长法）。</t>
        </is>
      </c>
    </row>
    <row r="43">
      <c r="A43" t="inlineStr">
        <is>
          <t>• DCF 采用【期中折现】：折现因子 = 1/(1+WACC)^(t−0.5)。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37603.74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Revenue!D3*Assumptions!B7</f>
        <v/>
      </c>
      <c r="E4">
        <f>Revenue!E3*Assumptions!B7</f>
        <v/>
      </c>
      <c r="F4">
        <f>Revenue!F3*Assumptions!B7</f>
        <v/>
      </c>
      <c r="G4">
        <f>Revenue!G3*Assumptions!B7</f>
        <v/>
      </c>
    </row>
    <row r="5">
      <c r="A5" s="7" t="inlineStr">
        <is>
          <t>期末原值 Gross end</t>
        </is>
      </c>
      <c r="B5" s="4" t="n">
        <v>10263.63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2132.06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5910.81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5872.36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4468.13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2125.09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3022.63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3022.63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5872.36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4468.13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8131.57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2125.09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5910.81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13458.79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调整</t>
        </is>
      </c>
      <c r="B3" s="4" t="n">
        <v>83458.22</v>
      </c>
      <c r="C3" s="3" t="inlineStr">
        <is>
          <t>废弃</t>
        </is>
      </c>
    </row>
    <row r="4">
      <c r="A4" s="3" t="inlineStr">
        <is>
          <t>TBD</t>
        </is>
      </c>
      <c r="B4" s="4" t="n">
        <v>76856.34</v>
      </c>
      <c r="C4" s="3" t="inlineStr">
        <is>
          <t>old</t>
        </is>
      </c>
    </row>
    <row r="5">
      <c r="A5" s="3" t="inlineStr">
        <is>
          <t>Misc</t>
        </is>
      </c>
      <c r="B5" s="4" t="n">
        <v>45993.66</v>
      </c>
      <c r="C5" s="3" t="inlineStr">
        <is>
          <t>废弃</t>
        </is>
      </c>
    </row>
    <row r="6">
      <c r="A6" s="3" t="inlineStr">
        <is>
          <t>Misc</t>
        </is>
      </c>
      <c r="B6" s="4" t="n">
        <v>71275.71000000001</v>
      </c>
      <c r="C6" s="3" t="inlineStr">
        <is>
          <t>check later</t>
        </is>
      </c>
    </row>
    <row r="7">
      <c r="A7" s="3" t="inlineStr">
        <is>
          <t>Misc</t>
        </is>
      </c>
      <c r="B7" s="4" t="n">
        <v>61247.31</v>
      </c>
      <c r="C7" s="3" t="inlineStr"/>
    </row>
    <row r="8">
      <c r="A8" s="3" t="inlineStr">
        <is>
          <t>TBD</t>
        </is>
      </c>
      <c r="B8" s="4" t="n">
        <v>70623.83</v>
      </c>
      <c r="C8" s="3" t="inlineStr">
        <is>
          <t>old</t>
        </is>
      </c>
    </row>
    <row r="9">
      <c r="A9" s="3" t="inlineStr">
        <is>
          <t>杂项</t>
        </is>
      </c>
      <c r="B9" s="4" t="n">
        <v>76940.64999999999</v>
      </c>
      <c r="C9" s="3" t="inlineStr">
        <is>
          <t>old</t>
        </is>
      </c>
    </row>
    <row r="10">
      <c r="A10" s="3" t="inlineStr">
        <is>
          <t>TBD</t>
        </is>
      </c>
      <c r="B10" s="4" t="n">
        <v>82479.14</v>
      </c>
      <c r="C10" s="3" t="inlineStr">
        <is>
          <t>废弃</t>
        </is>
      </c>
    </row>
    <row r="11">
      <c r="A11" s="3" t="inlineStr">
        <is>
          <t>TBD</t>
        </is>
      </c>
      <c r="B11" s="4" t="n">
        <v>4379.37</v>
      </c>
      <c r="C11" s="3" t="inlineStr">
        <is>
          <t>check later</t>
        </is>
      </c>
    </row>
    <row r="12">
      <c r="A12" s="3" t="inlineStr">
        <is>
          <t>调整</t>
        </is>
      </c>
      <c r="B12" s="4" t="n">
        <v>28622.63</v>
      </c>
      <c r="C12" s="3" t="inlineStr">
        <is>
          <t>废弃</t>
        </is>
      </c>
    </row>
    <row r="13">
      <c r="A13" s="3" t="inlineStr">
        <is>
          <t>杂项</t>
        </is>
      </c>
      <c r="B13" s="4" t="n">
        <v>36936.28</v>
      </c>
      <c r="C13" s="3" t="inlineStr">
        <is>
          <t>check later</t>
        </is>
      </c>
    </row>
    <row r="14">
      <c r="A14" s="3" t="inlineStr">
        <is>
          <t>调整</t>
        </is>
      </c>
      <c r="B14" s="4" t="n">
        <v>41935.19</v>
      </c>
      <c r="C14" s="3" t="inlineStr">
        <is>
          <t>check later</t>
        </is>
      </c>
    </row>
    <row r="15">
      <c r="A15" s="3" t="inlineStr">
        <is>
          <t>预留</t>
        </is>
      </c>
      <c r="B15" s="4" t="n">
        <v>16916.84</v>
      </c>
      <c r="C15" s="3" t="inlineStr">
        <is>
          <t>废弃</t>
        </is>
      </c>
    </row>
    <row r="16">
      <c r="A16" s="3" t="inlineStr">
        <is>
          <t>预留</t>
        </is>
      </c>
      <c r="B16" s="4" t="n">
        <v>68697.69</v>
      </c>
      <c r="C16" s="3" t="inlineStr">
        <is>
          <t>old</t>
        </is>
      </c>
    </row>
    <row r="17">
      <c r="A17" s="3" t="inlineStr">
        <is>
          <t>Misc</t>
        </is>
      </c>
      <c r="B17" s="4" t="n">
        <v>50767.45</v>
      </c>
      <c r="C17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80913.75</v>
      </c>
      <c r="C3" s="3" t="inlineStr"/>
    </row>
    <row r="4">
      <c r="A4" s="3" t="inlineStr">
        <is>
          <t>预留</t>
        </is>
      </c>
      <c r="B4" s="4" t="n">
        <v>43405.53</v>
      </c>
      <c r="C4" s="3" t="inlineStr">
        <is>
          <t>check later</t>
        </is>
      </c>
    </row>
    <row r="5">
      <c r="A5" s="3" t="inlineStr">
        <is>
          <t>预留</t>
        </is>
      </c>
      <c r="B5" s="4" t="n">
        <v>71223.62</v>
      </c>
      <c r="C5" s="3" t="inlineStr">
        <is>
          <t>废弃</t>
        </is>
      </c>
    </row>
    <row r="6">
      <c r="A6" s="3" t="inlineStr">
        <is>
          <t>Misc</t>
        </is>
      </c>
      <c r="B6" s="4" t="n">
        <v>83880.39999999999</v>
      </c>
      <c r="C6" s="3" t="inlineStr">
        <is>
          <t>old</t>
        </is>
      </c>
    </row>
    <row r="7">
      <c r="A7" s="3" t="inlineStr">
        <is>
          <t>调整</t>
        </is>
      </c>
      <c r="B7" s="4" t="n">
        <v>84000.78999999999</v>
      </c>
      <c r="C7" s="3" t="inlineStr">
        <is>
          <t>check later</t>
        </is>
      </c>
    </row>
    <row r="8">
      <c r="A8" s="3" t="inlineStr">
        <is>
          <t>调整</t>
        </is>
      </c>
      <c r="B8" s="4" t="n">
        <v>55730.08</v>
      </c>
      <c r="C8" s="3" t="inlineStr">
        <is>
          <t>废弃</t>
        </is>
      </c>
    </row>
    <row r="9">
      <c r="A9" s="3" t="inlineStr">
        <is>
          <t>杂项</t>
        </is>
      </c>
      <c r="B9" s="4" t="n">
        <v>69018.50999999999</v>
      </c>
      <c r="C9" s="3" t="inlineStr">
        <is>
          <t>废弃</t>
        </is>
      </c>
    </row>
    <row r="10">
      <c r="A10" s="3" t="inlineStr">
        <is>
          <t>TBD</t>
        </is>
      </c>
      <c r="B10" s="4" t="n">
        <v>23964.13</v>
      </c>
      <c r="C10" s="3" t="inlineStr">
        <is>
          <t>old</t>
        </is>
      </c>
    </row>
    <row r="11">
      <c r="A11" s="3" t="inlineStr">
        <is>
          <t>Misc</t>
        </is>
      </c>
      <c r="B11" s="4" t="n">
        <v>2382.52</v>
      </c>
      <c r="C11" s="3" t="inlineStr"/>
    </row>
    <row r="12">
      <c r="A12" s="3" t="inlineStr">
        <is>
          <t>TBD</t>
        </is>
      </c>
      <c r="B12" s="4" t="n">
        <v>53933.3</v>
      </c>
      <c r="C12" s="3" t="inlineStr"/>
    </row>
    <row r="13">
      <c r="A13" s="3" t="inlineStr">
        <is>
          <t>预留</t>
        </is>
      </c>
      <c r="B13" s="4" t="n">
        <v>83768.19</v>
      </c>
      <c r="C13" s="3" t="inlineStr">
        <is>
          <t>check later</t>
        </is>
      </c>
    </row>
    <row r="14">
      <c r="A14" s="3" t="inlineStr">
        <is>
          <t>杂项</t>
        </is>
      </c>
      <c r="B14" s="4" t="n">
        <v>67315.00999999999</v>
      </c>
      <c r="C14" s="3" t="inlineStr">
        <is>
          <t>check later</t>
        </is>
      </c>
    </row>
    <row r="15">
      <c r="A15" s="3" t="inlineStr">
        <is>
          <t>TBD</t>
        </is>
      </c>
      <c r="B15" s="4" t="n">
        <v>40481.55</v>
      </c>
      <c r="C15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22430.36</v>
      </c>
      <c r="C3" s="3" t="inlineStr"/>
    </row>
    <row r="4">
      <c r="A4" s="3" t="inlineStr">
        <is>
          <t>调整</t>
        </is>
      </c>
      <c r="B4" s="4" t="n">
        <v>15954.38</v>
      </c>
      <c r="C4" s="3" t="inlineStr">
        <is>
          <t>废弃</t>
        </is>
      </c>
    </row>
    <row r="5">
      <c r="A5" s="3" t="inlineStr">
        <is>
          <t>杂项</t>
        </is>
      </c>
      <c r="B5" s="4" t="n">
        <v>76886.39999999999</v>
      </c>
      <c r="C5" s="3" t="inlineStr">
        <is>
          <t>old</t>
        </is>
      </c>
    </row>
    <row r="6">
      <c r="A6" s="3" t="inlineStr">
        <is>
          <t>调整</t>
        </is>
      </c>
      <c r="B6" s="4" t="n">
        <v>64803.04</v>
      </c>
      <c r="C6" s="3" t="inlineStr">
        <is>
          <t>废弃</t>
        </is>
      </c>
    </row>
    <row r="7">
      <c r="A7" s="3" t="inlineStr">
        <is>
          <t>调整</t>
        </is>
      </c>
      <c r="B7" s="4" t="n">
        <v>43847.69</v>
      </c>
      <c r="C7" s="3" t="inlineStr">
        <is>
          <t>check later</t>
        </is>
      </c>
    </row>
    <row r="8">
      <c r="A8" s="3" t="inlineStr">
        <is>
          <t>Misc</t>
        </is>
      </c>
      <c r="B8" s="4" t="n">
        <v>65861.73</v>
      </c>
      <c r="C8" s="3" t="inlineStr">
        <is>
          <t>old</t>
        </is>
      </c>
    </row>
    <row r="9">
      <c r="A9" s="3" t="inlineStr">
        <is>
          <t>调整</t>
        </is>
      </c>
      <c r="B9" s="4" t="n">
        <v>47886.39</v>
      </c>
      <c r="C9" s="3" t="inlineStr">
        <is>
          <t>废弃</t>
        </is>
      </c>
    </row>
    <row r="10">
      <c r="A10" s="3" t="inlineStr">
        <is>
          <t>预留</t>
        </is>
      </c>
      <c r="B10" s="4" t="n">
        <v>6840.97</v>
      </c>
      <c r="C10" s="3" t="inlineStr">
        <is>
          <t>check later</t>
        </is>
      </c>
    </row>
    <row r="11">
      <c r="A11" s="3" t="inlineStr">
        <is>
          <t>杂项</t>
        </is>
      </c>
      <c r="B11" s="4" t="n">
        <v>72203.84</v>
      </c>
      <c r="C11" s="3" t="inlineStr"/>
    </row>
    <row r="12">
      <c r="A12" s="3" t="inlineStr">
        <is>
          <t>Misc</t>
        </is>
      </c>
      <c r="B12" s="4" t="n">
        <v>2110.78</v>
      </c>
      <c r="C12" s="3" t="inlineStr">
        <is>
          <t>check later</t>
        </is>
      </c>
    </row>
    <row r="13">
      <c r="A13" s="3" t="inlineStr">
        <is>
          <t>TBD</t>
        </is>
      </c>
      <c r="B13" s="4" t="n">
        <v>35167.39</v>
      </c>
      <c r="C13" s="3" t="inlineStr"/>
    </row>
    <row r="14">
      <c r="A14" s="3" t="inlineStr">
        <is>
          <t>杂项</t>
        </is>
      </c>
      <c r="B14" s="4" t="n">
        <v>87642.7</v>
      </c>
      <c r="C14" s="3" t="inlineStr">
        <is>
          <t>old</t>
        </is>
      </c>
    </row>
    <row r="15">
      <c r="A15" s="3" t="inlineStr">
        <is>
          <t>Misc</t>
        </is>
      </c>
      <c r="B15" s="4" t="n">
        <v>54813.88</v>
      </c>
      <c r="C15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2026-07-23T23:34:20Z</dcterms:created>
  <dcterms:modified xsi:type="dcterms:W3CDTF">2026-07-23T23:34:20Z</dcterms:modified>
</cp:coreProperties>
</file>